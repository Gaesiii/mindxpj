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asks" sheetId="2" state="visible" r:id="rId2"/>
    <sheet name="Dashboard" sheetId="3" state="visible" r:id="rId3"/>
    <sheet name="Modules" sheetId="4" state="visible" r:id="rId4"/>
  </sheets>
  <definedNames>
    <definedName name="_xlnm._FilterDatabase" localSheetId="1" hidden="1">'Tasks'!$A$1:$U$41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dd/mm/yyyy hh:mm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FF7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55" customWidth="1" min="3" max="3"/>
    <col width="25" customWidth="1" min="4" max="4"/>
  </cols>
  <sheetData>
    <row r="1" ht="34" customHeight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  <c r="D1" s="1" t="inlineStr">
        <is>
          <t>Holidays (optional)</t>
        </is>
      </c>
    </row>
    <row r="2">
      <c r="A2" s="2" t="inlineStr">
        <is>
          <t>Start date</t>
        </is>
      </c>
      <c r="B2" s="3" t="n">
        <v>46307</v>
      </c>
      <c r="C2" s="2" t="inlineStr">
        <is>
          <t>Đổi ngày bắt đầu; nghỉ cuối tuần</t>
        </is>
      </c>
      <c r="D2" s="3" t="n"/>
    </row>
    <row r="3">
      <c r="A3" s="2" t="inlineStr">
        <is>
          <t>Member 1</t>
        </is>
      </c>
      <c r="B3" s="2" t="inlineStr">
        <is>
          <t>mem1</t>
        </is>
      </c>
      <c r="C3" s="2" t="inlineStr">
        <is>
          <t>Đổi tên tại đây</t>
        </is>
      </c>
      <c r="D3" s="3" t="n"/>
    </row>
    <row r="4">
      <c r="A4" s="2" t="inlineStr">
        <is>
          <t>Member 2</t>
        </is>
      </c>
      <c r="B4" s="2" t="inlineStr">
        <is>
          <t>mem2</t>
        </is>
      </c>
      <c r="C4" s="2" t="inlineStr">
        <is>
          <t>Đổi tên tại đây</t>
        </is>
      </c>
      <c r="D4" s="3" t="n"/>
    </row>
    <row r="5">
      <c r="A5" s="2" t="inlineStr">
        <is>
          <t>PM</t>
        </is>
      </c>
      <c r="B5" s="2" t="inlineStr">
        <is>
          <t>PM</t>
        </is>
      </c>
      <c r="C5" s="2" t="inlineStr">
        <is>
          <t>Người review/ghi comment</t>
        </is>
      </c>
      <c r="D5" s="3" t="n"/>
    </row>
    <row r="6">
      <c r="A6" s="2" t="inlineStr">
        <is>
          <t>API_Gate</t>
        </is>
      </c>
      <c r="B6" s="2" t="inlineStr">
        <is>
          <t>NOT_APPROVED</t>
        </is>
      </c>
      <c r="C6" s="2" t="inlineStr">
        <is>
          <t>PM duyệt sau khi API có evidence</t>
        </is>
      </c>
      <c r="D6" s="3" t="n"/>
    </row>
    <row r="7">
      <c r="A7" s="2" t="inlineStr">
        <is>
          <t>Capacity hours/day</t>
        </is>
      </c>
      <c r="B7" s="2" t="n">
        <v>6</v>
      </c>
      <c r="C7" s="2" t="inlineStr">
        <is>
          <t>Giả định mỗi người</t>
        </is>
      </c>
      <c r="D7" s="3" t="n"/>
    </row>
    <row r="8">
      <c r="A8" s="2" t="inlineStr">
        <is>
          <t>Working days</t>
        </is>
      </c>
      <c r="B8" s="2" t="n">
        <v>20</v>
      </c>
      <c r="C8" s="2" t="inlineStr">
        <is>
          <t>Khung một tháng</t>
        </is>
      </c>
      <c r="D8" s="3" t="n"/>
    </row>
    <row r="9">
      <c r="A9" s="2" t="inlineStr">
        <is>
          <t>Scope</t>
        </is>
      </c>
      <c r="B9" s="2" t="inlineStr">
        <is>
          <t>MVP only</t>
        </is>
      </c>
      <c r="C9" s="2" t="inlineStr">
        <is>
          <t>v1.3; local UI user-authorized before gate; PM NOT_APPROVED</t>
        </is>
      </c>
      <c r="D9" s="3" t="n"/>
    </row>
    <row r="10">
      <c r="A10" s="2" t="n"/>
      <c r="B10" s="2" t="n"/>
      <c r="C10" s="2" t="n"/>
      <c r="D10" s="3" t="n"/>
    </row>
    <row r="11">
      <c r="A11" s="2" t="n"/>
      <c r="B11" s="2" t="n"/>
      <c r="C11" s="2" t="n"/>
      <c r="D11" s="3" t="n"/>
    </row>
    <row r="12">
      <c r="A12" s="2" t="n"/>
      <c r="B12" s="2" t="n"/>
      <c r="C12" s="2" t="n"/>
      <c r="D12" s="3" t="n"/>
    </row>
    <row r="13">
      <c r="A13" s="2" t="n"/>
      <c r="B13" s="2" t="n"/>
      <c r="C13" s="2" t="n"/>
      <c r="D13" s="3" t="n"/>
    </row>
    <row r="14">
      <c r="A14" s="2" t="n"/>
      <c r="B14" s="2" t="n"/>
      <c r="C14" s="2" t="n"/>
      <c r="D14" s="3" t="n"/>
    </row>
    <row r="15">
      <c r="A15" s="2" t="n"/>
      <c r="B15" s="2" t="n"/>
      <c r="C15" s="2" t="n"/>
      <c r="D15" s="3" t="n"/>
    </row>
    <row r="16">
      <c r="A16" s="2" t="n"/>
      <c r="B16" s="2" t="n"/>
      <c r="C16" s="2" t="n"/>
      <c r="D16" s="3" t="n"/>
    </row>
    <row r="17">
      <c r="A17" s="2" t="n"/>
      <c r="B17" s="2" t="n"/>
      <c r="C17" s="2" t="n"/>
      <c r="D17" s="3" t="n"/>
    </row>
    <row r="18">
      <c r="A18" s="2" t="n"/>
      <c r="B18" s="2" t="n"/>
      <c r="C18" s="2" t="n"/>
      <c r="D18" s="3" t="n"/>
    </row>
    <row r="19">
      <c r="A19" s="2" t="n"/>
      <c r="B19" s="2" t="n"/>
      <c r="C19" s="2" t="n"/>
      <c r="D19" s="3" t="n"/>
    </row>
    <row r="20">
      <c r="A20" s="2" t="n"/>
      <c r="B20" s="2" t="n"/>
      <c r="C20" s="2" t="n"/>
      <c r="D20" s="3" t="n"/>
    </row>
    <row r="21">
      <c r="A21" s="2" t="n"/>
      <c r="B21" s="2" t="n"/>
      <c r="C21" s="2" t="n"/>
      <c r="D21" s="3" t="n"/>
    </row>
    <row r="22">
      <c r="A22" s="2" t="n"/>
      <c r="B22" s="2" t="n"/>
      <c r="C22" s="2" t="n"/>
      <c r="D22" s="3" t="n"/>
    </row>
    <row r="23">
      <c r="A23" s="2" t="n"/>
      <c r="B23" s="2" t="n"/>
      <c r="C23" s="2" t="n"/>
      <c r="D23" s="3" t="n"/>
    </row>
    <row r="24">
      <c r="A24" s="2" t="n"/>
      <c r="B24" s="2" t="n"/>
      <c r="C24" s="2" t="n"/>
      <c r="D24" s="3" t="n"/>
    </row>
    <row r="25">
      <c r="A25" s="2" t="n"/>
      <c r="B25" s="2" t="n"/>
      <c r="C25" s="2" t="n"/>
      <c r="D25" s="3" t="n"/>
    </row>
    <row r="26">
      <c r="A26" s="2" t="n"/>
      <c r="B26" s="2" t="n"/>
      <c r="C26" s="2" t="n"/>
      <c r="D26" s="3" t="n"/>
    </row>
    <row r="27">
      <c r="A27" s="2" t="n"/>
      <c r="B27" s="2" t="n"/>
      <c r="C27" s="2" t="n"/>
      <c r="D27" s="3" t="n"/>
    </row>
    <row r="28">
      <c r="A28" s="2" t="n"/>
      <c r="B28" s="2" t="n"/>
      <c r="C28" s="2" t="n"/>
      <c r="D28" s="3" t="n"/>
    </row>
    <row r="29">
      <c r="A29" s="2" t="n"/>
      <c r="B29" s="2" t="n"/>
      <c r="C29" s="2" t="n"/>
      <c r="D29" s="3" t="n"/>
    </row>
    <row r="30">
      <c r="A30" s="2" t="n"/>
      <c r="B30" s="2" t="n"/>
      <c r="C30" s="2" t="n"/>
      <c r="D30" s="3" t="n"/>
    </row>
  </sheetData>
  <dataValidations count="1">
    <dataValidation sqref="B6" showDropDown="0" showInputMessage="0" showErrorMessage="1" allowBlank="0" errorTitle="API gate" error="Chọn giá trị trong danh sách" type="list">
      <formula1>"NOT_APPROVED,APPROVED"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3" customWidth="1" min="3" max="3"/>
    <col width="60" customWidth="1" min="4" max="4"/>
    <col width="16" customWidth="1" min="5" max="5"/>
    <col width="16" customWidth="1" min="6" max="6"/>
    <col width="12" customWidth="1" min="7" max="7"/>
    <col width="12" customWidth="1" min="8" max="8"/>
    <col width="16" customWidth="1" min="9" max="9"/>
    <col width="16" customWidth="1" min="10" max="10"/>
    <col width="10" customWidth="1" min="11" max="11"/>
    <col width="24" customWidth="1" min="12" max="12"/>
    <col width="65" customWidth="1" min="13" max="13"/>
    <col width="75" customWidth="1" min="14" max="14"/>
    <col width="14" customWidth="1" min="15" max="15"/>
    <col width="15" customWidth="1" min="16" max="16"/>
    <col width="18" customWidth="1" min="17" max="17"/>
    <col width="50" customWidth="1" min="18" max="18"/>
    <col width="40" customWidth="1" min="19" max="19"/>
    <col width="24" customWidth="1" min="20" max="20"/>
    <col width="45" customWidth="1" min="21" max="21"/>
  </cols>
  <sheetData>
    <row r="1" ht="34" customHeight="1">
      <c r="A1" s="1" t="inlineStr">
        <is>
          <t>ID</t>
        </is>
      </c>
      <c r="B1" s="1" t="inlineStr">
        <is>
          <t>Module</t>
        </is>
      </c>
      <c r="C1" s="1" t="inlineStr">
        <is>
          <t>Phase</t>
        </is>
      </c>
      <c r="D1" s="1" t="inlineStr">
        <is>
          <t>Task</t>
        </is>
      </c>
      <c r="E1" s="1" t="inlineStr">
        <is>
          <t>Owner</t>
        </is>
      </c>
      <c r="F1" s="1" t="inlineStr">
        <is>
          <t>Reviewer</t>
        </is>
      </c>
      <c r="G1" s="1" t="inlineStr">
        <is>
          <t>Start day</t>
        </is>
      </c>
      <c r="H1" s="1" t="inlineStr">
        <is>
          <t>End day</t>
        </is>
      </c>
      <c r="I1" s="1" t="inlineStr">
        <is>
          <t>Start date</t>
        </is>
      </c>
      <c r="J1" s="1" t="inlineStr">
        <is>
          <t>Due date</t>
        </is>
      </c>
      <c r="K1" s="1" t="inlineStr">
        <is>
          <t>Hours</t>
        </is>
      </c>
      <c r="L1" s="1" t="inlineStr">
        <is>
          <t>Dependencies</t>
        </is>
      </c>
      <c r="M1" s="1" t="inlineStr">
        <is>
          <t>Deliverable</t>
        </is>
      </c>
      <c r="N1" s="1" t="inlineStr">
        <is>
          <t>Acceptance</t>
        </is>
      </c>
      <c r="O1" s="1" t="inlineStr">
        <is>
          <t>Finish?</t>
        </is>
      </c>
      <c r="P1" s="1" t="inlineStr">
        <is>
          <t>Status</t>
        </is>
      </c>
      <c r="Q1" s="1" t="inlineStr">
        <is>
          <t>Ready / Blocked</t>
        </is>
      </c>
      <c r="R1" s="1" t="inlineStr">
        <is>
          <t>PM Comment</t>
        </is>
      </c>
      <c r="S1" s="1" t="inlineStr">
        <is>
          <t>Evidence / PR</t>
        </is>
      </c>
      <c r="T1" s="1" t="inlineStr">
        <is>
          <t>Actual Finish</t>
        </is>
      </c>
      <c r="U1" s="1" t="inlineStr">
        <is>
          <t>Dev Note</t>
        </is>
      </c>
    </row>
    <row r="2" ht="80" customHeight="1">
      <c r="A2" s="2" t="inlineStr">
        <is>
          <t>A01</t>
        </is>
      </c>
      <c r="B2" s="2" t="inlineStr">
        <is>
          <t>Nền tảng</t>
        </is>
      </c>
      <c r="C2" s="2" t="inlineStr">
        <is>
          <t>API</t>
        </is>
      </c>
      <c r="D2" s="2" t="inlineStr">
        <is>
          <t>Thiết lập project Django, custom User và quy ước API</t>
        </is>
      </c>
      <c r="E2" s="2">
        <f>Config!$B$3</f>
        <v/>
      </c>
      <c r="F2" s="2">
        <f>Config!$B$4</f>
        <v/>
      </c>
      <c r="G2" s="2" t="n">
        <v>1</v>
      </c>
      <c r="H2" s="2" t="n">
        <v>1</v>
      </c>
      <c r="I2" s="3">
        <f>WORKDAY(Config!$B$2-1,G2,Config!$D$2:$D$30)</f>
        <v/>
      </c>
      <c r="J2" s="3">
        <f>WORKDAY(Config!$B$2-1,H2,Config!$D$2:$D$30)</f>
        <v/>
      </c>
      <c r="K2" s="2" t="n">
        <v>5</v>
      </c>
      <c r="L2" s="2" t="inlineStr"/>
      <c r="M2" s="2" t="inlineStr">
        <is>
          <t>manage.py; config; accounts/models.py; requirements.txt</t>
        </is>
      </c>
      <c r="N2" s="2" t="inlineStr">
        <is>
          <t>Django check/migrate chạy trên DB rỗng; không dùng User mặc định rồi đổi sau</t>
        </is>
      </c>
      <c r="O2" s="2" t="b">
        <v>0</v>
      </c>
      <c r="P2" s="2">
        <f>IF(OR(O2=TRUE,O2="TRUE"),"finish","unfinish")</f>
        <v/>
      </c>
      <c r="Q2" s="2">
        <f>IF(OR(O2=TRUE,O2="TRUE"),"done",IF(TRUE,"ready","blocked"))</f>
        <v/>
      </c>
      <c r="R2" s="2" t="inlineStr"/>
      <c r="S2" s="2" t="inlineStr"/>
      <c r="T2" s="4" t="inlineStr"/>
      <c r="U2" s="2" t="inlineStr"/>
    </row>
    <row r="3" ht="80" customHeight="1">
      <c r="A3" s="2" t="inlineStr">
        <is>
          <t>B01</t>
        </is>
      </c>
      <c r="B3" s="2" t="inlineStr">
        <is>
          <t>Hợp đồng module</t>
        </is>
      </c>
      <c r="C3" s="2" t="inlineStr">
        <is>
          <t>API</t>
        </is>
      </c>
      <c r="D3" s="2" t="inlineStr">
        <is>
          <t>Chốt v1.3 schema/vision/source VISION và migration chéo</t>
        </is>
      </c>
      <c r="E3" s="2">
        <f>Config!$B$4</f>
        <v/>
      </c>
      <c r="F3" s="2">
        <f>Config!$B$3</f>
        <v/>
      </c>
      <c r="G3" s="2" t="n">
        <v>1</v>
      </c>
      <c r="H3" s="2" t="n">
        <v>1</v>
      </c>
      <c r="I3" s="3">
        <f>WORKDAY(Config!$B$2-1,G3,Config!$D$2:$D$30)</f>
        <v/>
      </c>
      <c r="J3" s="3">
        <f>WORKDAY(Config!$B$2-1,H3,Config!$D$2:$D$30)</f>
        <v/>
      </c>
      <c r="K3" s="2" t="n">
        <v>5</v>
      </c>
      <c r="L3" s="2" t="inlineStr"/>
      <c r="M3" s="2" t="inlineStr">
        <is>
          <t>docs/api-contract.md; core/enums.py</t>
        </is>
      </c>
      <c r="N3" s="2" t="inlineStr">
        <is>
          <t>mem1/mem2 phối hợp scope/mẫu private, vision contract và migration; QR giữ lịch sử, gate NOT_APPROVED</t>
        </is>
      </c>
      <c r="O3" s="2" t="b">
        <v>0</v>
      </c>
      <c r="P3" s="2">
        <f>IF(OR(O3=TRUE,O3="TRUE"),"finish","unfinish")</f>
        <v/>
      </c>
      <c r="Q3" s="2">
        <f>IF(OR(O3=TRUE,O3="TRUE"),"done",IF(TRUE,"ready","blocked"))</f>
        <v/>
      </c>
      <c r="R3" s="2" t="inlineStr"/>
      <c r="S3" s="2" t="inlineStr"/>
      <c r="T3" s="4" t="inlineStr"/>
      <c r="U3" s="2" t="inlineStr"/>
    </row>
    <row r="4" ht="80" customHeight="1">
      <c r="A4" s="2" t="inlineStr">
        <is>
          <t>A02</t>
        </is>
      </c>
      <c r="B4" s="2" t="inlineStr">
        <is>
          <t>M01 Tài khoản</t>
        </is>
      </c>
      <c r="C4" s="2" t="inlineStr">
        <is>
          <t>API</t>
        </is>
      </c>
      <c r="D4" s="2" t="inlineStr">
        <is>
          <t>API login/logout/me và cấp tài khoản tối thiểu</t>
        </is>
      </c>
      <c r="E4" s="2">
        <f>Config!$B$3</f>
        <v/>
      </c>
      <c r="F4" s="2">
        <f>Config!$B$4</f>
        <v/>
      </c>
      <c r="G4" s="2" t="n">
        <v>2</v>
      </c>
      <c r="H4" s="2" t="n">
        <v>2</v>
      </c>
      <c r="I4" s="3">
        <f>WORKDAY(Config!$B$2-1,G4,Config!$D$2:$D$30)</f>
        <v/>
      </c>
      <c r="J4" s="3">
        <f>WORKDAY(Config!$B$2-1,H4,Config!$D$2:$D$30)</f>
        <v/>
      </c>
      <c r="K4" s="2" t="n">
        <v>6</v>
      </c>
      <c r="L4" s="2" t="inlineStr">
        <is>
          <t>A01, B01</t>
        </is>
      </c>
      <c r="M4" s="2" t="inlineStr">
        <is>
          <t>accounts/views.py; services.py; urls.py</t>
        </is>
      </c>
      <c r="N4" s="2" t="inlineStr">
        <is>
          <t>Đăng nhập 3 vai trò; STUDENT chỉ bản thân; logout thu hồi phiên; CSRF đúng</t>
        </is>
      </c>
      <c r="O4" s="2" t="b">
        <v>0</v>
      </c>
      <c r="P4" s="2">
        <f>IF(OR(O4=TRUE,O4="TRUE"),"finish","unfinish")</f>
        <v/>
      </c>
      <c r="Q4" s="2">
        <f>IF(OR(O4=TRUE,O4="TRUE"),"done",IF(AND(COUNTIFS($A$2:$A$41,"A01",$P$2:$P$41,"finish")=1,COUNTIFS($A$2:$A$41,"B01",$P$2:$P$41,"finish")=1),"ready","blocked"))</f>
        <v/>
      </c>
      <c r="R4" s="2" t="inlineStr"/>
      <c r="S4" s="2" t="inlineStr"/>
      <c r="T4" s="4" t="inlineStr"/>
      <c r="U4" s="2" t="inlineStr"/>
    </row>
    <row r="5" ht="80" customHeight="1">
      <c r="A5" s="2" t="inlineStr">
        <is>
          <t>B02</t>
        </is>
      </c>
      <c r="B5" s="2" t="inlineStr">
        <is>
          <t>M04 Lịch</t>
        </is>
      </c>
      <c r="C5" s="2" t="inlineStr">
        <is>
          <t>API</t>
        </is>
      </c>
      <c r="D5" s="2" t="inlineStr">
        <is>
          <t>Đặc tả lịch tuần, session và snapshot; viết ca kiểm chứng</t>
        </is>
      </c>
      <c r="E5" s="2">
        <f>Config!$B$4</f>
        <v/>
      </c>
      <c r="F5" s="2">
        <f>Config!$B$3</f>
        <v/>
      </c>
      <c r="G5" s="2" t="n">
        <v>2</v>
      </c>
      <c r="H5" s="2" t="n">
        <v>2</v>
      </c>
      <c r="I5" s="3">
        <f>WORKDAY(Config!$B$2-1,G5,Config!$D$2:$D$30)</f>
        <v/>
      </c>
      <c r="J5" s="3">
        <f>WORKDAY(Config!$B$2-1,H5,Config!$D$2:$D$30)</f>
        <v/>
      </c>
      <c r="K5" s="2" t="n">
        <v>4</v>
      </c>
      <c r="L5" s="2" t="inlineStr">
        <is>
          <t>B01</t>
        </is>
      </c>
      <c r="M5" s="2" t="inlineStr">
        <is>
          <t>schedules/README.md; tests/test_schedules.py</t>
        </is>
      </c>
      <c r="N5" s="2" t="inlineStr">
        <is>
          <t>Có ca sáng/chiều, sơ mi/thể dục, mở buổi lặp; chưa phụ thuộc migration lớp</t>
        </is>
      </c>
      <c r="O5" s="2" t="b">
        <v>0</v>
      </c>
      <c r="P5" s="2">
        <f>IF(OR(O5=TRUE,O5="TRUE"),"finish","unfinish")</f>
        <v/>
      </c>
      <c r="Q5" s="2">
        <f>IF(OR(O5=TRUE,O5="TRUE"),"done",IF(AND(COUNTIFS($A$2:$A$41,"B01",$P$2:$P$41,"finish")=1),"ready","blocked"))</f>
        <v/>
      </c>
      <c r="R5" s="2" t="inlineStr"/>
      <c r="S5" s="2" t="inlineStr"/>
      <c r="T5" s="4" t="inlineStr"/>
      <c r="U5" s="2" t="inlineStr"/>
    </row>
    <row r="6" ht="80" customHeight="1">
      <c r="A6" s="2" t="inlineStr">
        <is>
          <t>A03</t>
        </is>
      </c>
      <c r="B6" s="2" t="inlineStr">
        <is>
          <t>M02 Khối/lớp</t>
        </is>
      </c>
      <c r="C6" s="2" t="inlineStr">
        <is>
          <t>API</t>
        </is>
      </c>
      <c r="D6" s="2" t="inlineStr">
        <is>
          <t>Model và API khối, lớp, gán một GVCN</t>
        </is>
      </c>
      <c r="E6" s="2">
        <f>Config!$B$3</f>
        <v/>
      </c>
      <c r="F6" s="2">
        <f>Config!$B$4</f>
        <v/>
      </c>
      <c r="G6" s="2" t="n">
        <v>3</v>
      </c>
      <c r="H6" s="2" t="n">
        <v>3</v>
      </c>
      <c r="I6" s="3">
        <f>WORKDAY(Config!$B$2-1,G6,Config!$D$2:$D$30)</f>
        <v/>
      </c>
      <c r="J6" s="3">
        <f>WORKDAY(Config!$B$2-1,H6,Config!$D$2:$D$30)</f>
        <v/>
      </c>
      <c r="K6" s="2" t="n">
        <v>6</v>
      </c>
      <c r="L6" s="2" t="inlineStr">
        <is>
          <t>A02</t>
        </is>
      </c>
      <c r="M6" s="2" t="inlineStr">
        <is>
          <t>academics/models.py; services.py; views.py</t>
        </is>
      </c>
      <c r="N6" s="2" t="inlineStr">
        <is>
          <t>Một lớp một GVCN; giám thị quản lý tất cả; giáo viên chỉ lớp được giao</t>
        </is>
      </c>
      <c r="O6" s="2" t="b">
        <v>0</v>
      </c>
      <c r="P6" s="2">
        <f>IF(OR(O6=TRUE,O6="TRUE"),"finish","unfinish")</f>
        <v/>
      </c>
      <c r="Q6" s="2">
        <f>IF(OR(O6=TRUE,O6="TRUE"),"done",IF(AND(COUNTIFS($A$2:$A$41,"A02",$P$2:$P$41,"finish")=1),"ready","blocked"))</f>
        <v/>
      </c>
      <c r="R6" s="2" t="inlineStr"/>
      <c r="S6" s="2" t="inlineStr"/>
      <c r="T6" s="4" t="inlineStr"/>
      <c r="U6" s="2" t="inlineStr"/>
    </row>
    <row r="7" ht="80" customHeight="1">
      <c r="A7" s="2" t="inlineStr">
        <is>
          <t>B03</t>
        </is>
      </c>
      <c r="B7" s="2" t="inlineStr">
        <is>
          <t>M04 Lịch</t>
        </is>
      </c>
      <c r="C7" s="2" t="inlineStr">
        <is>
          <t>API</t>
        </is>
      </c>
      <c r="D7" s="2" t="inlineStr">
        <is>
          <t>Chốt đầu vào/đầu ra lịch với model lớp/học sinh</t>
        </is>
      </c>
      <c r="E7" s="2">
        <f>Config!$B$4</f>
        <v/>
      </c>
      <c r="F7" s="2">
        <f>Config!$B$3</f>
        <v/>
      </c>
      <c r="G7" s="2" t="n">
        <v>3</v>
      </c>
      <c r="H7" s="2" t="n">
        <v>3</v>
      </c>
      <c r="I7" s="3">
        <f>WORKDAY(Config!$B$2-1,G7,Config!$D$2:$D$30)</f>
        <v/>
      </c>
      <c r="J7" s="3">
        <f>WORKDAY(Config!$B$2-1,H7,Config!$D$2:$D$30)</f>
        <v/>
      </c>
      <c r="K7" s="2" t="n">
        <v>4</v>
      </c>
      <c r="L7" s="2" t="inlineStr">
        <is>
          <t>B02</t>
        </is>
      </c>
      <c r="M7" s="2" t="inlineStr">
        <is>
          <t>docs/api-contract.md; schedules/forms.py</t>
        </is>
      </c>
      <c r="N7" s="2" t="inlineStr">
        <is>
          <t>Có class_id, weekday, slot, start_time, grace_minutes, uniform_type; không thêm module ngoài MVP</t>
        </is>
      </c>
      <c r="O7" s="2" t="b">
        <v>0</v>
      </c>
      <c r="P7" s="2">
        <f>IF(OR(O7=TRUE,O7="TRUE"),"finish","unfinish")</f>
        <v/>
      </c>
      <c r="Q7" s="2">
        <f>IF(OR(O7=TRUE,O7="TRUE"),"done",IF(AND(COUNTIFS($A$2:$A$41,"B02",$P$2:$P$41,"finish")=1),"ready","blocked"))</f>
        <v/>
      </c>
      <c r="R7" s="2" t="inlineStr"/>
      <c r="S7" s="2" t="inlineStr"/>
      <c r="T7" s="4" t="inlineStr"/>
      <c r="U7" s="2" t="inlineStr"/>
    </row>
    <row r="8" ht="80" customHeight="1">
      <c r="A8" s="2" t="inlineStr">
        <is>
          <t>A04</t>
        </is>
      </c>
      <c r="B8" s="2" t="inlineStr">
        <is>
          <t>M03 Học sinh</t>
        </is>
      </c>
      <c r="C8" s="2" t="inlineStr">
        <is>
          <t>API</t>
        </is>
      </c>
      <c r="D8" s="2" t="inlineStr">
        <is>
          <t>Model học sinh và API thêm/xem theo lớp</t>
        </is>
      </c>
      <c r="E8" s="2">
        <f>Config!$B$3</f>
        <v/>
      </c>
      <c r="F8" s="2">
        <f>Config!$B$4</f>
        <v/>
      </c>
      <c r="G8" s="2" t="n">
        <v>4</v>
      </c>
      <c r="H8" s="2" t="n">
        <v>4</v>
      </c>
      <c r="I8" s="3">
        <f>WORKDAY(Config!$B$2-1,G8,Config!$D$2:$D$30)</f>
        <v/>
      </c>
      <c r="J8" s="3">
        <f>WORKDAY(Config!$B$2-1,H8,Config!$D$2:$D$30)</f>
        <v/>
      </c>
      <c r="K8" s="2" t="n">
        <v>5</v>
      </c>
      <c r="L8" s="2" t="inlineStr">
        <is>
          <t>A03</t>
        </is>
      </c>
      <c r="M8" s="2" t="inlineStr">
        <is>
          <t>students/models.py; services.py; views.py</t>
        </is>
      </c>
      <c r="N8" s="2" t="inlineStr">
        <is>
          <t>Họ tên, mã, lớp/khối; trùng tên được, trùng mã bị chặn; lớp ngoài quyền trả 403/404</t>
        </is>
      </c>
      <c r="O8" s="2" t="b">
        <v>0</v>
      </c>
      <c r="P8" s="2">
        <f>IF(OR(O8=TRUE,O8="TRUE"),"finish","unfinish")</f>
        <v/>
      </c>
      <c r="Q8" s="2">
        <f>IF(OR(O8=TRUE,O8="TRUE"),"done",IF(AND(COUNTIFS($A$2:$A$41,"A03",$P$2:$P$41,"finish")=1),"ready","blocked"))</f>
        <v/>
      </c>
      <c r="R8" s="2" t="inlineStr"/>
      <c r="S8" s="2" t="inlineStr"/>
      <c r="T8" s="4" t="inlineStr"/>
      <c r="U8" s="2" t="inlineStr"/>
    </row>
    <row r="9" ht="80" customHeight="1">
      <c r="A9" s="2" t="inlineStr">
        <is>
          <t>B04</t>
        </is>
      </c>
      <c r="B9" s="2" t="inlineStr">
        <is>
          <t>M04 Lịch</t>
        </is>
      </c>
      <c r="C9" s="2" t="inlineStr">
        <is>
          <t>API</t>
        </is>
      </c>
      <c r="D9" s="2" t="inlineStr">
        <is>
          <t>Model và API lịch tuần theo lớp</t>
        </is>
      </c>
      <c r="E9" s="2">
        <f>Config!$B$4</f>
        <v/>
      </c>
      <c r="F9" s="2">
        <f>Config!$B$3</f>
        <v/>
      </c>
      <c r="G9" s="2" t="n">
        <v>4</v>
      </c>
      <c r="H9" s="2" t="n">
        <v>4</v>
      </c>
      <c r="I9" s="3">
        <f>WORKDAY(Config!$B$2-1,G9,Config!$D$2:$D$30)</f>
        <v/>
      </c>
      <c r="J9" s="3">
        <f>WORKDAY(Config!$B$2-1,H9,Config!$D$2:$D$30)</f>
        <v/>
      </c>
      <c r="K9" s="2" t="n">
        <v>6</v>
      </c>
      <c r="L9" s="2" t="inlineStr">
        <is>
          <t>A03, B03</t>
        </is>
      </c>
      <c r="M9" s="2" t="inlineStr">
        <is>
          <t>schedules/models.py; services.py; views.py</t>
        </is>
      </c>
      <c r="N9" s="2" t="inlineStr">
        <is>
          <t>Lưu giờ vào học và SHIRT/SPORTS; không có hai rule trùng thứ/slot/lớp</t>
        </is>
      </c>
      <c r="O9" s="2" t="b">
        <v>0</v>
      </c>
      <c r="P9" s="2">
        <f>IF(OR(O9=TRUE,O9="TRUE"),"finish","unfinish")</f>
        <v/>
      </c>
      <c r="Q9" s="2">
        <f>IF(OR(O9=TRUE,O9="TRUE"),"done",IF(AND(COUNTIFS($A$2:$A$41,"A03",$P$2:$P$41,"finish")=1,COUNTIFS($A$2:$A$41,"B03",$P$2:$P$41,"finish")=1),"ready","blocked"))</f>
        <v/>
      </c>
      <c r="R9" s="2" t="inlineStr"/>
      <c r="S9" s="2" t="inlineStr"/>
      <c r="T9" s="4" t="inlineStr"/>
      <c r="U9" s="2" t="inlineStr"/>
    </row>
    <row r="10" ht="80" customHeight="1">
      <c r="A10" s="2" t="inlineStr">
        <is>
          <t>A05</t>
        </is>
      </c>
      <c r="B10" s="2" t="inlineStr">
        <is>
          <t>M03 Học sinh</t>
        </is>
      </c>
      <c r="C10" s="2" t="inlineStr">
        <is>
          <t>API</t>
        </is>
      </c>
      <c r="D10" s="2" t="inlineStr">
        <is>
          <t>API cập nhật, tìm kiếm và tài khoản học sinh theo session</t>
        </is>
      </c>
      <c r="E10" s="2">
        <f>Config!$B$3</f>
        <v/>
      </c>
      <c r="F10" s="2">
        <f>Config!$B$4</f>
        <v/>
      </c>
      <c r="G10" s="2" t="n">
        <v>5</v>
      </c>
      <c r="H10" s="2" t="n">
        <v>5</v>
      </c>
      <c r="I10" s="3">
        <f>WORKDAY(Config!$B$2-1,G10,Config!$D$2:$D$30)</f>
        <v/>
      </c>
      <c r="J10" s="3">
        <f>WORKDAY(Config!$B$2-1,H10,Config!$D$2:$D$30)</f>
        <v/>
      </c>
      <c r="K10" s="2" t="n">
        <v>6</v>
      </c>
      <c r="L10" s="2" t="inlineStr">
        <is>
          <t>A04</t>
        </is>
      </c>
      <c r="M10" s="2" t="inlineStr">
        <is>
          <t>students/forms.py; accounts/services.py</t>
        </is>
      </c>
      <c r="N10" s="2" t="inlineStr">
        <is>
          <t>Sửa đúng phạm vi; student user liên kết một hồ sơ; không trả mật khẩu trong danh sách</t>
        </is>
      </c>
      <c r="O10" s="2" t="b">
        <v>0</v>
      </c>
      <c r="P10" s="2">
        <f>IF(OR(O10=TRUE,O10="TRUE"),"finish","unfinish")</f>
        <v/>
      </c>
      <c r="Q10" s="2">
        <f>IF(OR(O10=TRUE,O10="TRUE"),"done",IF(AND(COUNTIFS($A$2:$A$41,"A04",$P$2:$P$41,"finish")=1),"ready","blocked"))</f>
        <v/>
      </c>
      <c r="R10" s="2" t="inlineStr"/>
      <c r="S10" s="2" t="inlineStr"/>
      <c r="T10" s="4" t="inlineStr"/>
      <c r="U10" s="2" t="inlineStr"/>
    </row>
    <row r="11" ht="80" customHeight="1">
      <c r="A11" s="2" t="inlineStr">
        <is>
          <t>B05</t>
        </is>
      </c>
      <c r="B11" s="2" t="inlineStr">
        <is>
          <t>M04 Buổi học</t>
        </is>
      </c>
      <c r="C11" s="2" t="inlineStr">
        <is>
          <t>API</t>
        </is>
      </c>
      <c r="D11" s="2" t="inlineStr">
        <is>
          <t>Tạo buổi từ lịch theo ngày, lấy danh sách học sinh snapshot</t>
        </is>
      </c>
      <c r="E11" s="2">
        <f>Config!$B$4</f>
        <v/>
      </c>
      <c r="F11" s="2">
        <f>Config!$B$3</f>
        <v/>
      </c>
      <c r="G11" s="2" t="n">
        <v>5</v>
      </c>
      <c r="H11" s="2" t="n">
        <v>5</v>
      </c>
      <c r="I11" s="3">
        <f>WORKDAY(Config!$B$2-1,G11,Config!$D$2:$D$30)</f>
        <v/>
      </c>
      <c r="J11" s="3">
        <f>WORKDAY(Config!$B$2-1,H11,Config!$D$2:$D$30)</f>
        <v/>
      </c>
      <c r="K11" s="2" t="n">
        <v>6</v>
      </c>
      <c r="L11" s="2" t="inlineStr">
        <is>
          <t>A04, B04</t>
        </is>
      </c>
      <c r="M11" s="2" t="inlineStr">
        <is>
          <t>schedules/services.py; models.py</t>
        </is>
      </c>
      <c r="N11" s="2" t="inlineStr">
        <is>
          <t>Unique lớp/ngày/buổi; roster lấy học sinh active; sửa lịch không đổi snapshot buổi đã mở</t>
        </is>
      </c>
      <c r="O11" s="2" t="b">
        <v>0</v>
      </c>
      <c r="P11" s="2">
        <f>IF(OR(O11=TRUE,O11="TRUE"),"finish","unfinish")</f>
        <v/>
      </c>
      <c r="Q11" s="2">
        <f>IF(OR(O11=TRUE,O11="TRUE"),"done",IF(AND(COUNTIFS($A$2:$A$41,"A04",$P$2:$P$41,"finish")=1,COUNTIFS($A$2:$A$41,"B04",$P$2:$P$41,"finish")=1),"ready","blocked"))</f>
        <v/>
      </c>
      <c r="R11" s="2" t="inlineStr"/>
      <c r="S11" s="2" t="inlineStr"/>
      <c r="T11" s="4" t="inlineStr"/>
      <c r="U11" s="2" t="inlineStr"/>
    </row>
    <row r="12" ht="80" customHeight="1">
      <c r="A12" s="2" t="inlineStr">
        <is>
          <t>A06</t>
        </is>
      </c>
      <c r="B12" s="2" t="inlineStr">
        <is>
          <t>M03 Ảnh</t>
        </is>
      </c>
      <c r="C12" s="2" t="inlineStr">
        <is>
          <t>API</t>
        </is>
      </c>
      <c r="D12" s="2" t="inlineStr">
        <is>
          <t>Ảnh private và review enrollment metadata/scope học sinh</t>
        </is>
      </c>
      <c r="E12" s="2">
        <f>Config!$B$3</f>
        <v/>
      </c>
      <c r="F12" s="2">
        <f>Config!$B$4</f>
        <v/>
      </c>
      <c r="G12" s="2" t="n">
        <v>6</v>
      </c>
      <c r="H12" s="2" t="n">
        <v>6</v>
      </c>
      <c r="I12" s="3">
        <f>WORKDAY(Config!$B$2-1,G12,Config!$D$2:$D$30)</f>
        <v/>
      </c>
      <c r="J12" s="3">
        <f>WORKDAY(Config!$B$2-1,H12,Config!$D$2:$D$30)</f>
        <v/>
      </c>
      <c r="K12" s="2" t="n">
        <v>6</v>
      </c>
      <c r="L12" s="2" t="inlineStr">
        <is>
          <t>A05</t>
        </is>
      </c>
      <c r="M12" s="2" t="inlineStr">
        <is>
          <t>students/services.py; views.py; core/storage.py</t>
        </is>
      </c>
      <c r="N12" s="2" t="inlineStr">
        <is>
          <t>Ảnh profile private; không tự enroll; sample GET không bytes, staff scope và DELETE/re-enroll làm proposal cũ vô hiệu</t>
        </is>
      </c>
      <c r="O12" s="2" t="b">
        <v>0</v>
      </c>
      <c r="P12" s="2">
        <f>IF(OR(O12=TRUE,O12="TRUE"),"finish","unfinish")</f>
        <v/>
      </c>
      <c r="Q12" s="2">
        <f>IF(OR(O12=TRUE,O12="TRUE"),"done",IF(AND(COUNTIFS($A$2:$A$41,"A05",$P$2:$P$41,"finish")=1),"ready","blocked"))</f>
        <v/>
      </c>
      <c r="R12" s="2" t="inlineStr"/>
      <c r="S12" s="2" t="inlineStr"/>
      <c r="T12" s="4" t="inlineStr"/>
      <c r="U12" s="2" t="inlineStr"/>
    </row>
    <row r="13" ht="80" customHeight="1">
      <c r="A13" s="2" t="inlineStr">
        <is>
          <t>B06</t>
        </is>
      </c>
      <c r="B13" s="2" t="inlineStr">
        <is>
          <t>M04 Buổi học</t>
        </is>
      </c>
      <c r="C13" s="2" t="inlineStr">
        <is>
          <t>API</t>
        </is>
      </c>
      <c r="D13" s="2" t="inlineStr">
        <is>
          <t>API mở/chốt buổi tối thiểu và tạo attendance UNMARKED</t>
        </is>
      </c>
      <c r="E13" s="2">
        <f>Config!$B$4</f>
        <v/>
      </c>
      <c r="F13" s="2">
        <f>Config!$B$3</f>
        <v/>
      </c>
      <c r="G13" s="2" t="n">
        <v>6</v>
      </c>
      <c r="H13" s="2" t="n">
        <v>6</v>
      </c>
      <c r="I13" s="3">
        <f>WORKDAY(Config!$B$2-1,G13,Config!$D$2:$D$30)</f>
        <v/>
      </c>
      <c r="J13" s="3">
        <f>WORKDAY(Config!$B$2-1,H13,Config!$D$2:$D$30)</f>
        <v/>
      </c>
      <c r="K13" s="2" t="n">
        <v>5</v>
      </c>
      <c r="L13" s="2" t="inlineStr">
        <is>
          <t>B05, A05</t>
        </is>
      </c>
      <c r="M13" s="2" t="inlineStr">
        <is>
          <t>schedules/services.py; attendance/models.py</t>
        </is>
      </c>
      <c r="N13" s="2" t="inlineStr">
        <is>
          <t>Mở lặp không nhân đôi; chốt có cảnh báo chưa ghi nhận; chốt giữ NOT_CHECKED</t>
        </is>
      </c>
      <c r="O13" s="2" t="b">
        <v>0</v>
      </c>
      <c r="P13" s="2">
        <f>IF(OR(O13=TRUE,O13="TRUE"),"finish","unfinish")</f>
        <v/>
      </c>
      <c r="Q13" s="2">
        <f>IF(OR(O13=TRUE,O13="TRUE"),"done",IF(AND(COUNTIFS($A$2:$A$41,"B05",$P$2:$P$41,"finish")=1,COUNTIFS($A$2:$A$41,"A05",$P$2:$P$41,"finish")=1),"ready","blocked"))</f>
        <v/>
      </c>
      <c r="R13" s="2" t="inlineStr"/>
      <c r="S13" s="2" t="inlineStr"/>
      <c r="T13" s="4" t="inlineStr"/>
      <c r="U13" s="2" t="inlineStr"/>
    </row>
    <row r="14" ht="80" customHeight="1">
      <c r="A14" s="2" t="inlineStr">
        <is>
          <t>A07</t>
        </is>
      </c>
      <c r="B14" s="2" t="inlineStr">
        <is>
          <t>M01–M03 Quyền</t>
        </is>
      </c>
      <c r="C14" s="2" t="inlineStr">
        <is>
          <t>API</t>
        </is>
      </c>
      <c r="D14" s="2" t="inlineStr">
        <is>
          <t>Kiểm chứng quyền tài khoản, lớp, học sinh và ảnh</t>
        </is>
      </c>
      <c r="E14" s="2">
        <f>Config!$B$3</f>
        <v/>
      </c>
      <c r="F14" s="2">
        <f>Config!$B$4</f>
        <v/>
      </c>
      <c r="G14" s="2" t="n">
        <v>7</v>
      </c>
      <c r="H14" s="2" t="n">
        <v>7</v>
      </c>
      <c r="I14" s="3">
        <f>WORKDAY(Config!$B$2-1,G14,Config!$D$2:$D$30)</f>
        <v/>
      </c>
      <c r="J14" s="3">
        <f>WORKDAY(Config!$B$2-1,H14,Config!$D$2:$D$30)</f>
        <v/>
      </c>
      <c r="K14" s="2" t="n">
        <v>5</v>
      </c>
      <c r="L14" s="2" t="inlineStr">
        <is>
          <t>A06, A03</t>
        </is>
      </c>
      <c r="M14" s="2" t="inlineStr">
        <is>
          <t>tests/test_permissions.py; test_students.py</t>
        </is>
      </c>
      <c r="N14" s="2" t="inlineStr">
        <is>
          <t>Teacher A không đọc/sửa/tải ảnh lớp B; student không đọc roster; supervisor được toàn trường</t>
        </is>
      </c>
      <c r="O14" s="2" t="b">
        <v>0</v>
      </c>
      <c r="P14" s="2">
        <f>IF(OR(O14=TRUE,O14="TRUE"),"finish","unfinish")</f>
        <v/>
      </c>
      <c r="Q14" s="2">
        <f>IF(OR(O14=TRUE,O14="TRUE"),"done",IF(AND(COUNTIFS($A$2:$A$41,"A06",$P$2:$P$41,"finish")=1,COUNTIFS($A$2:$A$41,"A03",$P$2:$P$41,"finish")=1),"ready","blocked"))</f>
        <v/>
      </c>
      <c r="R14" s="2" t="inlineStr"/>
      <c r="S14" s="2" t="inlineStr"/>
      <c r="T14" s="4" t="inlineStr"/>
      <c r="U14" s="2" t="inlineStr"/>
    </row>
    <row r="15" ht="80" customHeight="1">
      <c r="A15" s="2" t="inlineStr">
        <is>
          <t>B07</t>
        </is>
      </c>
      <c r="B15" s="2" t="inlineStr">
        <is>
          <t>M05 Điểm danh</t>
        </is>
      </c>
      <c r="C15" s="2" t="inlineStr">
        <is>
          <t>API</t>
        </is>
      </c>
      <c r="D15" s="2" t="inlineStr">
        <is>
          <t>API roster, điểm danh thủ công/vắng và thời gian đến</t>
        </is>
      </c>
      <c r="E15" s="2">
        <f>Config!$B$4</f>
        <v/>
      </c>
      <c r="F15" s="2">
        <f>Config!$B$3</f>
        <v/>
      </c>
      <c r="G15" s="2" t="n">
        <v>7</v>
      </c>
      <c r="H15" s="2" t="n">
        <v>7</v>
      </c>
      <c r="I15" s="3">
        <f>WORKDAY(Config!$B$2-1,G15,Config!$D$2:$D$30)</f>
        <v/>
      </c>
      <c r="J15" s="3">
        <f>WORKDAY(Config!$B$2-1,H15,Config!$D$2:$D$30)</f>
        <v/>
      </c>
      <c r="K15" s="2" t="n">
        <v>6</v>
      </c>
      <c r="L15" s="2" t="inlineStr">
        <is>
          <t>B06</t>
        </is>
      </c>
      <c r="M15" s="2" t="inlineStr">
        <is>
          <t>attendance/services.py; views.py; forms.py</t>
        </is>
      </c>
      <c r="N15" s="2" t="inlineStr">
        <is>
          <t>PRESENT có arrived_at; đúng giờ/muộn theo server và snapshot; vắng không có giờ đến</t>
        </is>
      </c>
      <c r="O15" s="2" t="b">
        <v>0</v>
      </c>
      <c r="P15" s="2">
        <f>IF(OR(O15=TRUE,O15="TRUE"),"finish","unfinish")</f>
        <v/>
      </c>
      <c r="Q15" s="2">
        <f>IF(OR(O15=TRUE,O15="TRUE"),"done",IF(AND(COUNTIFS($A$2:$A$41,"B06",$P$2:$P$41,"finish")=1),"ready","blocked"))</f>
        <v/>
      </c>
      <c r="R15" s="2" t="inlineStr"/>
      <c r="S15" s="2" t="inlineStr"/>
      <c r="T15" s="4" t="inlineStr"/>
      <c r="U15" s="2" t="inlineStr"/>
    </row>
    <row r="16" ht="80" customHeight="1">
      <c r="A16" s="2" t="inlineStr">
        <is>
          <t>A08</t>
        </is>
      </c>
      <c r="B16" s="2" t="inlineStr">
        <is>
          <t>M07 Báo cáo</t>
        </is>
      </c>
      <c r="C16" s="2" t="inlineStr">
        <is>
          <t>API</t>
        </is>
      </c>
      <c r="D16" s="2" t="inlineStr">
        <is>
          <t>Viết query báo cáo bằng fixture, công thức tổng hợp</t>
        </is>
      </c>
      <c r="E16" s="2">
        <f>Config!$B$3</f>
        <v/>
      </c>
      <c r="F16" s="2">
        <f>Config!$B$4</f>
        <v/>
      </c>
      <c r="G16" s="2" t="n">
        <v>8</v>
      </c>
      <c r="H16" s="2" t="n">
        <v>8</v>
      </c>
      <c r="I16" s="3">
        <f>WORKDAY(Config!$B$2-1,G16,Config!$D$2:$D$30)</f>
        <v/>
      </c>
      <c r="J16" s="3">
        <f>WORKDAY(Config!$B$2-1,H16,Config!$D$2:$D$30)</f>
        <v/>
      </c>
      <c r="K16" s="2" t="n">
        <v>5</v>
      </c>
      <c r="L16" s="2" t="inlineStr">
        <is>
          <t>B06, A07</t>
        </is>
      </c>
      <c r="M16" s="2" t="inlineStr">
        <is>
          <t>reports/queries.py; tests/test_reports.py</t>
        </is>
      </c>
      <c r="N16" s="2" t="inlineStr">
        <is>
          <t>Phân biệt có mặt/vắng/chưa ghi nhận; không đếm buổi chưa mở; quyền lớp được lọc ở query</t>
        </is>
      </c>
      <c r="O16" s="2" t="b">
        <v>0</v>
      </c>
      <c r="P16" s="2">
        <f>IF(OR(O16=TRUE,O16="TRUE"),"finish","unfinish")</f>
        <v/>
      </c>
      <c r="Q16" s="2">
        <f>IF(OR(O16=TRUE,O16="TRUE"),"done",IF(AND(COUNTIFS($A$2:$A$41,"B06",$P$2:$P$41,"finish")=1,COUNTIFS($A$2:$A$41,"A07",$P$2:$P$41,"finish")=1),"ready","blocked"))</f>
        <v/>
      </c>
      <c r="R16" s="2" t="inlineStr"/>
      <c r="S16" s="2" t="inlineStr"/>
      <c r="T16" s="4" t="inlineStr"/>
      <c r="U16" s="2" t="inlineStr"/>
    </row>
    <row r="17" ht="80" customHeight="1">
      <c r="A17" s="2" t="inlineStr">
        <is>
          <t>B08</t>
        </is>
      </c>
      <c r="B17" s="2" t="inlineStr">
        <is>
          <t>M05 Điểm danh</t>
        </is>
      </c>
      <c r="C17" s="2" t="inlineStr">
        <is>
          <t>API</t>
        </is>
      </c>
      <c r="D17" s="2" t="inlineStr">
        <is>
          <t>Version, unique, retry chống điểm danh trùng và lỗi mạng</t>
        </is>
      </c>
      <c r="E17" s="2">
        <f>Config!$B$4</f>
        <v/>
      </c>
      <c r="F17" s="2">
        <f>Config!$B$3</f>
        <v/>
      </c>
      <c r="G17" s="2" t="n">
        <v>8</v>
      </c>
      <c r="H17" s="2" t="n">
        <v>8</v>
      </c>
      <c r="I17" s="3">
        <f>WORKDAY(Config!$B$2-1,G17,Config!$D$2:$D$30)</f>
        <v/>
      </c>
      <c r="J17" s="3">
        <f>WORKDAY(Config!$B$2-1,H17,Config!$D$2:$D$30)</f>
        <v/>
      </c>
      <c r="K17" s="2" t="n">
        <v>5</v>
      </c>
      <c r="L17" s="2" t="inlineStr">
        <is>
          <t>B07</t>
        </is>
      </c>
      <c r="M17" s="2" t="inlineStr">
        <is>
          <t>attendance/services.py; core/idempotency.py; tests/test_attendance.py</t>
        </is>
      </c>
      <c r="N17" s="2" t="inlineStr">
        <is>
          <t>Retry cùng key không nhân đôi; 07:05:00 đúng giờ, 07:05:01 muộn; không báo lưu thành công nếu lỗi</t>
        </is>
      </c>
      <c r="O17" s="2" t="b">
        <v>0</v>
      </c>
      <c r="P17" s="2">
        <f>IF(OR(O17=TRUE,O17="TRUE"),"finish","unfinish")</f>
        <v/>
      </c>
      <c r="Q17" s="2">
        <f>IF(OR(O17=TRUE,O17="TRUE"),"done",IF(AND(COUNTIFS($A$2:$A$41,"B07",$P$2:$P$41,"finish")=1),"ready","blocked"))</f>
        <v/>
      </c>
      <c r="R17" s="2" t="inlineStr"/>
      <c r="S17" s="2" t="inlineStr"/>
      <c r="T17" s="4" t="inlineStr"/>
      <c r="U17" s="2" t="inlineStr"/>
    </row>
    <row r="18" ht="80" customHeight="1">
      <c r="A18" s="2" t="inlineStr">
        <is>
          <t>A09</t>
        </is>
      </c>
      <c r="B18" s="2" t="inlineStr">
        <is>
          <t>M07 Báo cáo</t>
        </is>
      </c>
      <c r="C18" s="2" t="inlineStr">
        <is>
          <t>API</t>
        </is>
      </c>
      <c r="D18" s="2" t="inlineStr">
        <is>
          <t>API báo cáo chi tiết/tổng hợp, lọc ngày/lớp/khối</t>
        </is>
      </c>
      <c r="E18" s="2">
        <f>Config!$B$3</f>
        <v/>
      </c>
      <c r="F18" s="2">
        <f>Config!$B$4</f>
        <v/>
      </c>
      <c r="G18" s="2" t="n">
        <v>9</v>
      </c>
      <c r="H18" s="2" t="n">
        <v>9</v>
      </c>
      <c r="I18" s="3">
        <f>WORKDAY(Config!$B$2-1,G18,Config!$D$2:$D$30)</f>
        <v/>
      </c>
      <c r="J18" s="3">
        <f>WORKDAY(Config!$B$2-1,H18,Config!$D$2:$D$30)</f>
        <v/>
      </c>
      <c r="K18" s="2" t="n">
        <v>5</v>
      </c>
      <c r="L18" s="2" t="inlineStr">
        <is>
          <t>A08, B08</t>
        </is>
      </c>
      <c r="M18" s="2" t="inlineStr">
        <is>
          <t>reports/views.py; forms.py; urls.py</t>
        </is>
      </c>
      <c r="N18" s="2" t="inlineStr">
        <is>
          <t>Bộ lọc ngoài quyền bị chặn; tổng đúng với dữ liệu attendance thực; mẫu số 0 hiển thị rõ</t>
        </is>
      </c>
      <c r="O18" s="2" t="b">
        <v>0</v>
      </c>
      <c r="P18" s="2">
        <f>IF(OR(O18=TRUE,O18="TRUE"),"finish","unfinish")</f>
        <v/>
      </c>
      <c r="Q18" s="2">
        <f>IF(OR(O18=TRUE,O18="TRUE"),"done",IF(AND(COUNTIFS($A$2:$A$41,"A08",$P$2:$P$41,"finish")=1,COUNTIFS($A$2:$A$41,"B08",$P$2:$P$41,"finish")=1),"ready","blocked"))</f>
        <v/>
      </c>
      <c r="R18" s="2" t="inlineStr"/>
      <c r="S18" s="2" t="inlineStr"/>
      <c r="T18" s="4" t="inlineStr"/>
      <c r="U18" s="2" t="inlineStr"/>
    </row>
    <row r="19" ht="80" customHeight="1">
      <c r="A19" s="2" t="inlineStr">
        <is>
          <t>B09</t>
        </is>
      </c>
      <c r="B19" s="2" t="inlineStr">
        <is>
          <t>M05 Vision</t>
        </is>
      </c>
      <c r="C19" s="2" t="inlineStr">
        <is>
          <t>API</t>
        </is>
      </c>
      <c r="D19" s="2" t="inlineStr">
        <is>
          <t>Engine Haar/LBPH/HSV và đăng ký mẫu private</t>
        </is>
      </c>
      <c r="E19" s="2">
        <f>Config!$B$4</f>
        <v/>
      </c>
      <c r="F19" s="2">
        <f>Config!$B$3</f>
        <v/>
      </c>
      <c r="G19" s="2" t="n">
        <v>9</v>
      </c>
      <c r="H19" s="2" t="n">
        <v>9</v>
      </c>
      <c r="I19" s="3">
        <f>WORKDAY(Config!$B$2-1,G19,Config!$D$2:$D$30)</f>
        <v/>
      </c>
      <c r="J19" s="3">
        <f>WORKDAY(Config!$B$2-1,H19,Config!$D$2:$D$30)</f>
        <v/>
      </c>
      <c r="K19" s="2" t="n">
        <v>6</v>
      </c>
      <c r="L19" s="2" t="inlineStr">
        <is>
          <t>B08, A05</t>
        </is>
      </c>
      <c r="M19" s="2" t="inlineStr">
        <is>
          <t>vision/engine.py; models; enrollment API; tests/test_vision_engine.py</t>
        </is>
      </c>
      <c r="N19" s="2" t="inlineStr">
        <is>
          <t>3–10 ảnh thay nguyên tử,128x128 private; LBPH match/unknown/ambiguous; HSV UNKNOWN khi thiếu vùng áo; không cam kết accuracy</t>
        </is>
      </c>
      <c r="O19" s="2" t="b">
        <v>0</v>
      </c>
      <c r="P19" s="2">
        <f>IF(OR(O19=TRUE,O19="TRUE"),"finish","unfinish")</f>
        <v/>
      </c>
      <c r="Q19" s="2">
        <f>IF(OR(O19=TRUE,O19="TRUE"),"done",IF(AND(COUNTIFS($A$2:$A$41,"B08",$P$2:$P$41,"finish")=1,COUNTIFS($A$2:$A$41,"A05",$P$2:$P$41,"finish")=1),"ready","blocked"))</f>
        <v/>
      </c>
      <c r="R19" s="2" t="inlineStr"/>
      <c r="S19" s="2" t="inlineStr"/>
      <c r="T19" s="4" t="inlineStr"/>
      <c r="U19" s="2" t="inlineStr"/>
    </row>
    <row r="20" ht="80" customHeight="1">
      <c r="A20" s="2" t="inlineStr">
        <is>
          <t>A10</t>
        </is>
      </c>
      <c r="B20" s="2" t="inlineStr">
        <is>
          <t>M07 Xuất XLSX</t>
        </is>
      </c>
      <c r="C20" s="2" t="inlineStr">
        <is>
          <t>API</t>
        </is>
      </c>
      <c r="D20" s="2" t="inlineStr">
        <is>
          <t>Xuất Excel chi tiết/tổng hợp bằng openpyxl</t>
        </is>
      </c>
      <c r="E20" s="2">
        <f>Config!$B$3</f>
        <v/>
      </c>
      <c r="F20" s="2">
        <f>Config!$B$4</f>
        <v/>
      </c>
      <c r="G20" s="2" t="n">
        <v>10</v>
      </c>
      <c r="H20" s="2" t="n">
        <v>10</v>
      </c>
      <c r="I20" s="3">
        <f>WORKDAY(Config!$B$2-1,G20,Config!$D$2:$D$30)</f>
        <v/>
      </c>
      <c r="J20" s="3">
        <f>WORKDAY(Config!$B$2-1,H20,Config!$D$2:$D$30)</f>
        <v/>
      </c>
      <c r="K20" s="2" t="n">
        <v>6</v>
      </c>
      <c r="L20" s="2" t="inlineStr">
        <is>
          <t>A09</t>
        </is>
      </c>
      <c r="M20" s="2" t="inlineStr">
        <is>
          <t>reports/exporters.py; services.py</t>
        </is>
      </c>
      <c r="N20" s="2" t="inlineStr">
        <is>
          <t>Tối đa 5.000 dòng, đúng bộ lọc/quyền; không chạy formula do nội dung người dùng</t>
        </is>
      </c>
      <c r="O20" s="2" t="b">
        <v>0</v>
      </c>
      <c r="P20" s="2">
        <f>IF(OR(O20=TRUE,O20="TRUE"),"finish","unfinish")</f>
        <v/>
      </c>
      <c r="Q20" s="2">
        <f>IF(OR(O20=TRUE,O20="TRUE"),"done",IF(AND(COUNTIFS($A$2:$A$41,"A09",$P$2:$P$41,"finish")=1),"ready","blocked"))</f>
        <v/>
      </c>
      <c r="R20" s="2" t="inlineStr"/>
      <c r="S20" s="2" t="inlineStr"/>
      <c r="T20" s="4" t="inlineStr"/>
      <c r="U20" s="2" t="inlineStr"/>
    </row>
    <row r="21" ht="80" customHeight="1">
      <c r="A21" s="2" t="inlineStr">
        <is>
          <t>B10</t>
        </is>
      </c>
      <c r="B21" s="2" t="inlineStr">
        <is>
          <t>M05 Vision</t>
        </is>
      </c>
      <c r="C21" s="2" t="inlineStr">
        <is>
          <t>API</t>
        </is>
      </c>
      <c r="D21" s="2" t="inlineStr">
        <is>
          <t>API staff phân tích một ảnh theo roster và queue proposal</t>
        </is>
      </c>
      <c r="E21" s="2">
        <f>Config!$B$4</f>
        <v/>
      </c>
      <c r="F21" s="2">
        <f>Config!$B$3</f>
        <v/>
      </c>
      <c r="G21" s="2" t="n">
        <v>10</v>
      </c>
      <c r="H21" s="2" t="n">
        <v>10</v>
      </c>
      <c r="I21" s="3">
        <f>WORKDAY(Config!$B$2-1,G21,Config!$D$2:$D$30)</f>
        <v/>
      </c>
      <c r="J21" s="3">
        <f>WORKDAY(Config!$B$2-1,H21,Config!$D$2:$D$30)</f>
        <v/>
      </c>
      <c r="K21" s="2" t="n">
        <v>6</v>
      </c>
      <c r="L21" s="2" t="inlineStr">
        <is>
          <t>B09</t>
        </is>
      </c>
      <c r="M21" s="2" t="inlineStr">
        <is>
          <t>vision scan POST/GET; tests/test_vision_api.py</t>
        </is>
      </c>
      <c r="N21" s="2" t="inlineStr">
        <is>
          <t>staff scope; STUDENT403; single image2MiB/4MP; roster50;20/phút; PENDING không PRESENT; expiry120s; Idempotency-Key</t>
        </is>
      </c>
      <c r="O21" s="2" t="b">
        <v>0</v>
      </c>
      <c r="P21" s="2">
        <f>IF(OR(O21=TRUE,O21="TRUE"),"finish","unfinish")</f>
        <v/>
      </c>
      <c r="Q21" s="2">
        <f>IF(OR(O21=TRUE,O21="TRUE"),"done",IF(AND(COUNTIFS($A$2:$A$41,"B09",$P$2:$P$41,"finish")=1),"ready","blocked"))</f>
        <v/>
      </c>
      <c r="R21" s="2" t="inlineStr"/>
      <c r="S21" s="2" t="inlineStr"/>
      <c r="T21" s="4" t="inlineStr"/>
      <c r="U21" s="2" t="inlineStr"/>
    </row>
    <row r="22" ht="80" customHeight="1">
      <c r="A22" s="2" t="inlineStr">
        <is>
          <t>A11</t>
        </is>
      </c>
      <c r="B22" s="2" t="inlineStr">
        <is>
          <t>M07 Xuất CSV</t>
        </is>
      </c>
      <c r="C22" s="2" t="inlineStr">
        <is>
          <t>API</t>
        </is>
      </c>
      <c r="D22" s="2" t="inlineStr">
        <is>
          <t>CSV UTF-8 BOM, endpoint download và metadata</t>
        </is>
      </c>
      <c r="E22" s="2">
        <f>Config!$B$3</f>
        <v/>
      </c>
      <c r="F22" s="2">
        <f>Config!$B$4</f>
        <v/>
      </c>
      <c r="G22" s="2" t="n">
        <v>11</v>
      </c>
      <c r="H22" s="2" t="n">
        <v>11</v>
      </c>
      <c r="I22" s="3">
        <f>WORKDAY(Config!$B$2-1,G22,Config!$D$2:$D$30)</f>
        <v/>
      </c>
      <c r="J22" s="3">
        <f>WORKDAY(Config!$B$2-1,H22,Config!$D$2:$D$30)</f>
        <v/>
      </c>
      <c r="K22" s="2" t="n">
        <v>5</v>
      </c>
      <c r="L22" s="2" t="inlineStr">
        <is>
          <t>A10</t>
        </is>
      </c>
      <c r="M22" s="2" t="inlineStr">
        <is>
          <t>reports/exporters.py; views.py; core/storage.py</t>
        </is>
      </c>
      <c r="N22" s="2" t="inlineStr">
        <is>
          <t>Đúng dấu tiếng Việt/timezone; tải kiểm tra quyền; XLSX và CSV đối soát cùng dữ liệu</t>
        </is>
      </c>
      <c r="O22" s="2" t="b">
        <v>0</v>
      </c>
      <c r="P22" s="2">
        <f>IF(OR(O22=TRUE,O22="TRUE"),"finish","unfinish")</f>
        <v/>
      </c>
      <c r="Q22" s="2">
        <f>IF(OR(O22=TRUE,O22="TRUE"),"done",IF(AND(COUNTIFS($A$2:$A$41,"A10",$P$2:$P$41,"finish")=1),"ready","blocked"))</f>
        <v/>
      </c>
      <c r="R22" s="2" t="inlineStr"/>
      <c r="S22" s="2" t="inlineStr"/>
      <c r="T22" s="4" t="inlineStr"/>
      <c r="U22" s="2" t="inlineStr"/>
    </row>
    <row r="23" ht="80" customHeight="1">
      <c r="A23" s="2" t="inlineStr">
        <is>
          <t>B11</t>
        </is>
      </c>
      <c r="B23" s="2" t="inlineStr">
        <is>
          <t>M05 Vision xác minh</t>
        </is>
      </c>
      <c r="C23" s="2" t="inlineStr">
        <is>
          <t>API</t>
        </is>
      </c>
      <c r="D23" s="2" t="inlineStr">
        <is>
          <t>API confirm/reject proposal và manual fallback</t>
        </is>
      </c>
      <c r="E23" s="2">
        <f>Config!$B$4</f>
        <v/>
      </c>
      <c r="F23" s="2">
        <f>Config!$B$3</f>
        <v/>
      </c>
      <c r="G23" s="2" t="n">
        <v>11</v>
      </c>
      <c r="H23" s="2" t="n">
        <v>11</v>
      </c>
      <c r="I23" s="3">
        <f>WORKDAY(Config!$B$2-1,G23,Config!$D$2:$D$30)</f>
        <v/>
      </c>
      <c r="J23" s="3">
        <f>WORKDAY(Config!$B$2-1,H23,Config!$D$2:$D$30)</f>
        <v/>
      </c>
      <c r="K23" s="2" t="n">
        <v>6</v>
      </c>
      <c r="L23" s="2" t="inlineStr">
        <is>
          <t>B10</t>
        </is>
      </c>
      <c r="M23" s="2" t="inlineStr">
        <is>
          <t>vision/services.py; confirm/reject; attendance source migration</t>
        </is>
      </c>
      <c r="N23" s="2" t="inlineStr">
        <is>
          <t>identity_confirmed bắt buộc; scan/attendance version, sample revision, OPEN/time; retry; manual/close/transfer/re-enroll/delete vô hiệu proposal</t>
        </is>
      </c>
      <c r="O23" s="2" t="b">
        <v>0</v>
      </c>
      <c r="P23" s="2">
        <f>IF(OR(O23=TRUE,O23="TRUE"),"finish","unfinish")</f>
        <v/>
      </c>
      <c r="Q23" s="2">
        <f>IF(OR(O23=TRUE,O23="TRUE"),"done",IF(AND(COUNTIFS($A$2:$A$41,"B10",$P$2:$P$41,"finish")=1),"ready","blocked"))</f>
        <v/>
      </c>
      <c r="R23" s="2" t="inlineStr"/>
      <c r="S23" s="2" t="inlineStr"/>
      <c r="T23" s="4" t="inlineStr"/>
      <c r="U23" s="2" t="inlineStr"/>
    </row>
    <row r="24" ht="80" customHeight="1">
      <c r="A24" s="2" t="inlineStr">
        <is>
          <t>A12</t>
        </is>
      </c>
      <c r="B24" s="2" t="inlineStr">
        <is>
          <t>M07 Báo cáo</t>
        </is>
      </c>
      <c r="C24" s="2" t="inlineStr">
        <is>
          <t>API</t>
        </is>
      </c>
      <c r="D24" s="2" t="inlineStr">
        <is>
          <t>Đối soát report VISION/manual và đồng phục</t>
        </is>
      </c>
      <c r="E24" s="2">
        <f>Config!$B$3</f>
        <v/>
      </c>
      <c r="F24" s="2">
        <f>Config!$B$4</f>
        <v/>
      </c>
      <c r="G24" s="2" t="n">
        <v>12</v>
      </c>
      <c r="H24" s="2" t="n">
        <v>12</v>
      </c>
      <c r="I24" s="3">
        <f>WORKDAY(Config!$B$2-1,G24,Config!$D$2:$D$30)</f>
        <v/>
      </c>
      <c r="J24" s="3">
        <f>WORKDAY(Config!$B$2-1,H24,Config!$D$2:$D$30)</f>
        <v/>
      </c>
      <c r="K24" s="2" t="n">
        <v>6</v>
      </c>
      <c r="L24" s="2" t="inlineStr">
        <is>
          <t>A11, B11</t>
        </is>
      </c>
      <c r="M24" s="2" t="inlineStr">
        <is>
          <t>tests/test_report_reconciliation.py; reports/queries.py</t>
        </is>
      </c>
      <c r="N24" s="2" t="inlineStr">
        <is>
          <t>PENDING không PRESENT; VISION arrived_at=scanned_at; JSON/XLSX/CSV khớp; QR chỉ lịch sử</t>
        </is>
      </c>
      <c r="O24" s="2" t="b">
        <v>0</v>
      </c>
      <c r="P24" s="2">
        <f>IF(OR(O24=TRUE,O24="TRUE"),"finish","unfinish")</f>
        <v/>
      </c>
      <c r="Q24" s="2">
        <f>IF(OR(O24=TRUE,O24="TRUE"),"done",IF(AND(COUNTIFS($A$2:$A$41,"A11",$P$2:$P$41,"finish")=1,COUNTIFS($A$2:$A$41,"B11",$P$2:$P$41,"finish")=1),"ready","blocked"))</f>
        <v/>
      </c>
      <c r="R24" s="2" t="inlineStr"/>
      <c r="S24" s="2" t="inlineStr"/>
      <c r="T24" s="4" t="inlineStr"/>
      <c r="U24" s="2" t="inlineStr"/>
    </row>
    <row r="25" ht="80" customHeight="1">
      <c r="A25" s="2" t="inlineStr">
        <is>
          <t>B12</t>
        </is>
      </c>
      <c r="B25" s="2" t="inlineStr">
        <is>
          <t>M06 Đồng phục</t>
        </is>
      </c>
      <c r="C25" s="2" t="inlineStr">
        <is>
          <t>API</t>
        </is>
      </c>
      <c r="D25" s="2" t="inlineStr">
        <is>
          <t>Uniform staff quyết định và confirm vision nguyên tử</t>
        </is>
      </c>
      <c r="E25" s="2">
        <f>Config!$B$4</f>
        <v/>
      </c>
      <c r="F25" s="2">
        <f>Config!$B$3</f>
        <v/>
      </c>
      <c r="G25" s="2" t="n">
        <v>12</v>
      </c>
      <c r="H25" s="2" t="n">
        <v>12</v>
      </c>
      <c r="I25" s="3">
        <f>WORKDAY(Config!$B$2-1,G25,Config!$D$2:$D$30)</f>
        <v/>
      </c>
      <c r="J25" s="3">
        <f>WORKDAY(Config!$B$2-1,H25,Config!$D$2:$D$30)</f>
        <v/>
      </c>
      <c r="K25" s="2" t="n">
        <v>6</v>
      </c>
      <c r="L25" s="2" t="inlineStr">
        <is>
          <t>B11</t>
        </is>
      </c>
      <c r="M25" s="2" t="inlineStr">
        <is>
          <t>attendance/uniform_rules.py; forms.py; services.py</t>
        </is>
      </c>
      <c r="N25" s="2" t="inlineStr">
        <is>
          <t>HSV chỉ gợi ý; UNKNOWN không tự đạt/vi phạm; invalid uniform rollback cả confirm/attendance/log</t>
        </is>
      </c>
      <c r="O25" s="2" t="b">
        <v>0</v>
      </c>
      <c r="P25" s="2">
        <f>IF(OR(O25=TRUE,O25="TRUE"),"finish","unfinish")</f>
        <v/>
      </c>
      <c r="Q25" s="2">
        <f>IF(OR(O25=TRUE,O25="TRUE"),"done",IF(AND(COUNTIFS($A$2:$A$41,"B11",$P$2:$P$41,"finish")=1),"ready","blocked"))</f>
        <v/>
      </c>
      <c r="R25" s="2" t="inlineStr"/>
      <c r="S25" s="2" t="inlineStr"/>
      <c r="T25" s="4" t="inlineStr"/>
      <c r="U25" s="2" t="inlineStr"/>
    </row>
    <row r="26" ht="80" customHeight="1">
      <c r="A26" s="2" t="inlineStr">
        <is>
          <t>A13</t>
        </is>
      </c>
      <c r="B26" s="2" t="inlineStr">
        <is>
          <t>Tích hợp API</t>
        </is>
      </c>
      <c r="C26" s="2" t="inlineStr">
        <is>
          <t>API</t>
        </is>
      </c>
      <c r="D26" s="2" t="inlineStr">
        <is>
          <t>Kiểm chứng quyền xuyên suốt và tải file/ảnh</t>
        </is>
      </c>
      <c r="E26" s="2">
        <f>Config!$B$3</f>
        <v/>
      </c>
      <c r="F26" s="2">
        <f>Config!$B$4</f>
        <v/>
      </c>
      <c r="G26" s="2" t="n">
        <v>13</v>
      </c>
      <c r="H26" s="2" t="n">
        <v>13</v>
      </c>
      <c r="I26" s="3">
        <f>WORKDAY(Config!$B$2-1,G26,Config!$D$2:$D$30)</f>
        <v/>
      </c>
      <c r="J26" s="3">
        <f>WORKDAY(Config!$B$2-1,H26,Config!$D$2:$D$30)</f>
        <v/>
      </c>
      <c r="K26" s="2" t="n">
        <v>6</v>
      </c>
      <c r="L26" s="2" t="inlineStr">
        <is>
          <t>A12, B12</t>
        </is>
      </c>
      <c r="M26" s="2" t="inlineStr">
        <is>
          <t>tests/test_api_permissions.py; test_reports.py</t>
        </is>
      </c>
      <c r="N26" s="2" t="inlineStr">
        <is>
          <t>Học sinh không xuất data; giáo viên xuất lớp mình; đổi ID không vượt quyền; trường bắt buộc validate</t>
        </is>
      </c>
      <c r="O26" s="2" t="b">
        <v>0</v>
      </c>
      <c r="P26" s="2">
        <f>IF(OR(O26=TRUE,O26="TRUE"),"finish","unfinish")</f>
        <v/>
      </c>
      <c r="Q26" s="2">
        <f>IF(OR(O26=TRUE,O26="TRUE"),"done",IF(AND(COUNTIFS($A$2:$A$41,"A12",$P$2:$P$41,"finish")=1,COUNTIFS($A$2:$A$41,"B12",$P$2:$P$41,"finish")=1),"ready","blocked"))</f>
        <v/>
      </c>
      <c r="R26" s="2" t="inlineStr"/>
      <c r="S26" s="2" t="inlineStr"/>
      <c r="T26" s="4" t="inlineStr"/>
      <c r="U26" s="2" t="inlineStr"/>
    </row>
    <row r="27" ht="80" customHeight="1">
      <c r="A27" s="2" t="inlineStr">
        <is>
          <t>B13</t>
        </is>
      </c>
      <c r="B27" s="2" t="inlineStr">
        <is>
          <t>Tích hợp API</t>
        </is>
      </c>
      <c r="C27" s="2" t="inlineStr">
        <is>
          <t>API</t>
        </is>
      </c>
      <c r="D27" s="2" t="inlineStr">
        <is>
          <t>Kiểm chứng vision→staff confirm→uniform→close</t>
        </is>
      </c>
      <c r="E27" s="2">
        <f>Config!$B$4</f>
        <v/>
      </c>
      <c r="F27" s="2">
        <f>Config!$B$3</f>
        <v/>
      </c>
      <c r="G27" s="2" t="n">
        <v>13</v>
      </c>
      <c r="H27" s="2" t="n">
        <v>13</v>
      </c>
      <c r="I27" s="3">
        <f>WORKDAY(Config!$B$2-1,G27,Config!$D$2:$D$30)</f>
        <v/>
      </c>
      <c r="J27" s="3">
        <f>WORKDAY(Config!$B$2-1,H27,Config!$D$2:$D$30)</f>
        <v/>
      </c>
      <c r="K27" s="2" t="n">
        <v>6</v>
      </c>
      <c r="L27" s="2" t="inlineStr">
        <is>
          <t>B12</t>
        </is>
      </c>
      <c r="M27" s="2" t="inlineStr">
        <is>
          <t>tests/test_full_flow.py; test_qr.py</t>
        </is>
      </c>
      <c r="N27" s="2" t="inlineStr">
        <is>
          <t>Mẫu/ảnh/scope/version/expiry/retry; manual fallback; QR mặc định tắt; migrate mới và nâng cấp</t>
        </is>
      </c>
      <c r="O27" s="2" t="b">
        <v>0</v>
      </c>
      <c r="P27" s="2">
        <f>IF(OR(O27=TRUE,O27="TRUE"),"finish","unfinish")</f>
        <v/>
      </c>
      <c r="Q27" s="2">
        <f>IF(OR(O27=TRUE,O27="TRUE"),"done",IF(AND(COUNTIFS($A$2:$A$41,"B12",$P$2:$P$41,"finish")=1),"ready","blocked"))</f>
        <v/>
      </c>
      <c r="R27" s="2" t="inlineStr"/>
      <c r="S27" s="2" t="inlineStr"/>
      <c r="T27" s="4" t="inlineStr"/>
      <c r="U27" s="2" t="inlineStr"/>
    </row>
    <row r="28" ht="80" customHeight="1">
      <c r="A28" s="2" t="inlineStr">
        <is>
          <t>A14</t>
        </is>
      </c>
      <c r="B28" s="2" t="inlineStr">
        <is>
          <t>API docs/seed</t>
        </is>
      </c>
      <c r="C28" s="2" t="inlineStr">
        <is>
          <t>API</t>
        </is>
      </c>
      <c r="D28" s="2" t="inlineStr">
        <is>
          <t>Dữ liệu giả và request collection cho PM nghiệm thu</t>
        </is>
      </c>
      <c r="E28" s="2">
        <f>Config!$B$3</f>
        <v/>
      </c>
      <c r="F28" s="2">
        <f>Config!$B$4</f>
        <v/>
      </c>
      <c r="G28" s="2" t="n">
        <v>14</v>
      </c>
      <c r="H28" s="2" t="n">
        <v>14</v>
      </c>
      <c r="I28" s="3">
        <f>WORKDAY(Config!$B$2-1,G28,Config!$D$2:$D$30)</f>
        <v/>
      </c>
      <c r="J28" s="3">
        <f>WORKDAY(Config!$B$2-1,H28,Config!$D$2:$D$30)</f>
        <v/>
      </c>
      <c r="K28" s="2" t="n">
        <v>5</v>
      </c>
      <c r="L28" s="2" t="inlineStr">
        <is>
          <t>A13</t>
        </is>
      </c>
      <c r="M28" s="2" t="inlineStr">
        <is>
          <t>management command seed_demo; docs/api-contract.md; api-requests.http</t>
        </is>
      </c>
      <c r="N28" s="2" t="inlineStr">
        <is>
          <t>2 lớp/20 học sinh giả, tài khoản các vai trò; PM gọi API không cần giao diện</t>
        </is>
      </c>
      <c r="O28" s="2" t="b">
        <v>0</v>
      </c>
      <c r="P28" s="2">
        <f>IF(OR(O28=TRUE,O28="TRUE"),"finish","unfinish")</f>
        <v/>
      </c>
      <c r="Q28" s="2">
        <f>IF(OR(O28=TRUE,O28="TRUE"),"done",IF(AND(COUNTIFS($A$2:$A$41,"A13",$P$2:$P$41,"finish")=1),"ready","blocked"))</f>
        <v/>
      </c>
      <c r="R28" s="2" t="inlineStr"/>
      <c r="S28" s="2" t="inlineStr"/>
      <c r="T28" s="4" t="inlineStr"/>
      <c r="U28" s="2" t="inlineStr"/>
    </row>
    <row r="29" ht="80" customHeight="1">
      <c r="A29" s="2" t="inlineStr">
        <is>
          <t>B14</t>
        </is>
      </c>
      <c r="B29" s="2" t="inlineStr">
        <is>
          <t>API hoàn thiện</t>
        </is>
      </c>
      <c r="C29" s="2" t="inlineStr">
        <is>
          <t>API</t>
        </is>
      </c>
      <c r="D29" s="2" t="inlineStr">
        <is>
          <t>Sửa lỗi vision và viết hướng dẫn demo OpenCV</t>
        </is>
      </c>
      <c r="E29" s="2">
        <f>Config!$B$4</f>
        <v/>
      </c>
      <c r="F29" s="2">
        <f>Config!$B$3</f>
        <v/>
      </c>
      <c r="G29" s="2" t="n">
        <v>14</v>
      </c>
      <c r="H29" s="2" t="n">
        <v>14</v>
      </c>
      <c r="I29" s="3">
        <f>WORKDAY(Config!$B$2-1,G29,Config!$D$2:$D$30)</f>
        <v/>
      </c>
      <c r="J29" s="3">
        <f>WORKDAY(Config!$B$2-1,H29,Config!$D$2:$D$30)</f>
        <v/>
      </c>
      <c r="K29" s="2" t="n">
        <v>5</v>
      </c>
      <c r="L29" s="2" t="inlineStr">
        <is>
          <t>B13</t>
        </is>
      </c>
      <c r="M29" s="2" t="inlineStr">
        <is>
          <t>docs/huong-dan-demo-opencv.md; api-requests.http; evidence</t>
        </is>
      </c>
      <c r="N29" s="2" t="inlineStr">
        <is>
          <t>Setup/enrollment/API/presentation5–7phút; synthetic không chứng minh camera/accuracy/liveness</t>
        </is>
      </c>
      <c r="O29" s="2" t="b">
        <v>0</v>
      </c>
      <c r="P29" s="2">
        <f>IF(OR(O29=TRUE,O29="TRUE"),"finish","unfinish")</f>
        <v/>
      </c>
      <c r="Q29" s="2">
        <f>IF(OR(O29=TRUE,O29="TRUE"),"done",IF(AND(COUNTIFS($A$2:$A$41,"B13",$P$2:$P$41,"finish")=1),"ready","blocked"))</f>
        <v/>
      </c>
      <c r="R29" s="2" t="inlineStr"/>
      <c r="S29" s="2" t="inlineStr"/>
      <c r="T29" s="4" t="inlineStr"/>
      <c r="U29" s="2" t="inlineStr"/>
    </row>
    <row r="30" ht="80" customHeight="1">
      <c r="A30" s="2" t="inlineStr">
        <is>
          <t>A15</t>
        </is>
      </c>
      <c r="B30" s="2" t="inlineStr">
        <is>
          <t>API gate</t>
        </is>
      </c>
      <c r="C30" s="2" t="inlineStr">
        <is>
          <t>API</t>
        </is>
      </c>
      <c r="D30" s="2" t="inlineStr">
        <is>
          <t>Review API gate với PM: auth/lớp/học sinh/report/export</t>
        </is>
      </c>
      <c r="E30" s="2">
        <f>Config!$B$3</f>
        <v/>
      </c>
      <c r="F30" s="2">
        <f>Config!$B$5</f>
        <v/>
      </c>
      <c r="G30" s="2" t="n">
        <v>15</v>
      </c>
      <c r="H30" s="2" t="n">
        <v>15</v>
      </c>
      <c r="I30" s="3">
        <f>WORKDAY(Config!$B$2-1,G30,Config!$D$2:$D$30)</f>
        <v/>
      </c>
      <c r="J30" s="3">
        <f>WORKDAY(Config!$B$2-1,H30,Config!$D$2:$D$30)</f>
        <v/>
      </c>
      <c r="K30" s="2" t="n">
        <v>4</v>
      </c>
      <c r="L30" s="2" t="inlineStr">
        <is>
          <t>A14, B14</t>
        </is>
      </c>
      <c r="M30" s="2" t="inlineStr">
        <is>
          <t>docs/api-acceptance.md; link evidence</t>
        </is>
      </c>
      <c r="N30" s="2" t="inlineStr">
        <is>
          <t>PM có test result, collection và file export; chưa mở frontend khi còn lỗi chặn luồng</t>
        </is>
      </c>
      <c r="O30" s="2" t="b">
        <v>0</v>
      </c>
      <c r="P30" s="2">
        <f>IF(OR(O30=TRUE,O30="TRUE"),"finish","unfinish")</f>
        <v/>
      </c>
      <c r="Q30" s="2">
        <f>IF(OR(O30=TRUE,O30="TRUE"),"done",IF(AND(COUNTIFS($A$2:$A$41,"A14",$P$2:$P$41,"finish")=1,COUNTIFS($A$2:$A$41,"B14",$P$2:$P$41,"finish")=1),"ready","blocked"))</f>
        <v/>
      </c>
      <c r="R30" s="2" t="inlineStr"/>
      <c r="S30" s="2" t="inlineStr"/>
      <c r="T30" s="4" t="inlineStr"/>
      <c r="U30" s="2" t="inlineStr"/>
    </row>
    <row r="31" ht="80" customHeight="1">
      <c r="A31" s="2" t="inlineStr">
        <is>
          <t>B15</t>
        </is>
      </c>
      <c r="B31" s="2" t="inlineStr">
        <is>
          <t>API gate</t>
        </is>
      </c>
      <c r="C31" s="2" t="inlineStr">
        <is>
          <t>API</t>
        </is>
      </c>
      <c r="D31" s="2" t="inlineStr">
        <is>
          <t>PM review API gate lịch/attendance/vision/uniform</t>
        </is>
      </c>
      <c r="E31" s="2">
        <f>Config!$B$4</f>
        <v/>
      </c>
      <c r="F31" s="2">
        <f>Config!$B$5</f>
        <v/>
      </c>
      <c r="G31" s="2" t="n">
        <v>15</v>
      </c>
      <c r="H31" s="2" t="n">
        <v>15</v>
      </c>
      <c r="I31" s="3">
        <f>WORKDAY(Config!$B$2-1,G31,Config!$D$2:$D$30)</f>
        <v/>
      </c>
      <c r="J31" s="3">
        <f>WORKDAY(Config!$B$2-1,H31,Config!$D$2:$D$30)</f>
        <v/>
      </c>
      <c r="K31" s="2" t="n">
        <v>4</v>
      </c>
      <c r="L31" s="2" t="inlineStr">
        <is>
          <t>B14, A14</t>
        </is>
      </c>
      <c r="M31" s="2" t="inlineStr">
        <is>
          <t>docs/api-acceptance.md; link evidence</t>
        </is>
      </c>
      <c r="N31" s="2" t="inlineStr">
        <is>
          <t>PM đọc evidence mới và giới hạn camera/HSV; không dùng126test QR cũ; gate NOT_APPROVED cho tới quyết định PM</t>
        </is>
      </c>
      <c r="O31" s="2" t="b">
        <v>0</v>
      </c>
      <c r="P31" s="2">
        <f>IF(OR(O31=TRUE,O31="TRUE"),"finish","unfinish")</f>
        <v/>
      </c>
      <c r="Q31" s="2">
        <f>IF(OR(O31=TRUE,O31="TRUE"),"done",IF(AND(COUNTIFS($A$2:$A$41,"B14",$P$2:$P$41,"finish")=1,COUNTIFS($A$2:$A$41,"A14",$P$2:$P$41,"finish")=1),"ready","blocked"))</f>
        <v/>
      </c>
      <c r="R31" s="2" t="inlineStr"/>
      <c r="S31" s="2" t="inlineStr"/>
      <c r="T31" s="4" t="inlineStr"/>
      <c r="U31" s="2" t="inlineStr"/>
    </row>
    <row r="32" ht="80" customHeight="1">
      <c r="A32" s="2" t="inlineStr">
        <is>
          <t>A16</t>
        </is>
      </c>
      <c r="B32" s="2" t="inlineStr">
        <is>
          <t>UI M01–M03</t>
        </is>
      </c>
      <c r="C32" s="2" t="inlineStr">
        <is>
          <t>FRONTEND_LATER</t>
        </is>
      </c>
      <c r="D32" s="2" t="inlineStr">
        <is>
          <t>Sau API gate: giao diện đăng nhập, lớp và học sinh tối thiểu</t>
        </is>
      </c>
      <c r="E32" s="2">
        <f>Config!$B$3</f>
        <v/>
      </c>
      <c r="F32" s="2">
        <f>Config!$B$4</f>
        <v/>
      </c>
      <c r="G32" s="2" t="n">
        <v>16</v>
      </c>
      <c r="H32" s="2" t="n">
        <v>16</v>
      </c>
      <c r="I32" s="3">
        <f>WORKDAY(Config!$B$2-1,G32,Config!$D$2:$D$30)</f>
        <v/>
      </c>
      <c r="J32" s="3">
        <f>WORKDAY(Config!$B$2-1,H32,Config!$D$2:$D$30)</f>
        <v/>
      </c>
      <c r="K32" s="2" t="n">
        <v>5</v>
      </c>
      <c r="L32" s="2" t="inlineStr">
        <is>
          <t>A15, B15</t>
        </is>
      </c>
      <c r="M32" s="2" t="inlineStr">
        <is>
          <t>Tạo frontend Django Templates sau PM duyệt</t>
        </is>
      </c>
      <c r="N32" s="2" t="inlineStr">
        <is>
          <t>Dùng API/service đã ổn định; không tạo frontend ở giai đoạn hiện tại</t>
        </is>
      </c>
      <c r="O32" s="2" t="b">
        <v>0</v>
      </c>
      <c r="P32" s="2">
        <f>IF(OR(O32=TRUE,O32="TRUE"),"finish","unfinish")</f>
        <v/>
      </c>
      <c r="Q32" s="2">
        <f>IF(OR(O32=TRUE,O32="TRUE"),"done",IF(AND(COUNTIFS($A$2:$A$41,"A15",$P$2:$P$41,"finish")=1,COUNTIFS($A$2:$A$41,"B15",$P$2:$P$41,"finish")=1,Config!$B$6="APPROVED",COUNTIFS($C$2:$C$41,"API",$P$2:$P$41,"unfinish")=0,COUNTIF($C$2:$C$41,"API")&gt;0),"ready","blocked"))</f>
        <v/>
      </c>
      <c r="R32" s="2" t="inlineStr"/>
      <c r="S32" s="2" t="inlineStr"/>
      <c r="T32" s="4" t="inlineStr"/>
      <c r="U32" s="2" t="inlineStr"/>
    </row>
    <row r="33" ht="80" customHeight="1">
      <c r="A33" s="2" t="inlineStr">
        <is>
          <t>B16</t>
        </is>
      </c>
      <c r="B33" s="2" t="inlineStr">
        <is>
          <t>UI M04–M05</t>
        </is>
      </c>
      <c r="C33" s="2" t="inlineStr">
        <is>
          <t>FRONTEND_LATER</t>
        </is>
      </c>
      <c r="D33" s="2" t="inlineStr">
        <is>
          <t>Sau API gate: giao diện lịch và danh sách điểm danh</t>
        </is>
      </c>
      <c r="E33" s="2">
        <f>Config!$B$4</f>
        <v/>
      </c>
      <c r="F33" s="2">
        <f>Config!$B$3</f>
        <v/>
      </c>
      <c r="G33" s="2" t="n">
        <v>16</v>
      </c>
      <c r="H33" s="2" t="n">
        <v>16</v>
      </c>
      <c r="I33" s="3">
        <f>WORKDAY(Config!$B$2-1,G33,Config!$D$2:$D$30)</f>
        <v/>
      </c>
      <c r="J33" s="3">
        <f>WORKDAY(Config!$B$2-1,H33,Config!$D$2:$D$30)</f>
        <v/>
      </c>
      <c r="K33" s="2" t="n">
        <v>5</v>
      </c>
      <c r="L33" s="2" t="inlineStr">
        <is>
          <t>A15, B15</t>
        </is>
      </c>
      <c r="M33" s="2" t="inlineStr">
        <is>
          <t>Tạo frontend Django Templates sau PM duyệt</t>
        </is>
      </c>
      <c r="N33" s="2" t="inlineStr">
        <is>
          <t>Hiển thị trạng thái và giờ từ server; không tính quyền/thời gian ở client</t>
        </is>
      </c>
      <c r="O33" s="2" t="b">
        <v>0</v>
      </c>
      <c r="P33" s="2">
        <f>IF(OR(O33=TRUE,O33="TRUE"),"finish","unfinish")</f>
        <v/>
      </c>
      <c r="Q33" s="2">
        <f>IF(OR(O33=TRUE,O33="TRUE"),"done",IF(AND(COUNTIFS($A$2:$A$41,"A15",$P$2:$P$41,"finish")=1,COUNTIFS($A$2:$A$41,"B15",$P$2:$P$41,"finish")=1,Config!$B$6="APPROVED",COUNTIFS($C$2:$C$41,"API",$P$2:$P$41,"unfinish")=0,COUNTIF($C$2:$C$41,"API")&gt;0),"ready","blocked"))</f>
        <v/>
      </c>
      <c r="R33" s="2" t="inlineStr"/>
      <c r="S33" s="2" t="inlineStr"/>
      <c r="T33" s="4" t="inlineStr"/>
      <c r="U33" s="2" t="inlineStr"/>
    </row>
    <row r="34" ht="80" customHeight="1">
      <c r="A34" s="2" t="inlineStr">
        <is>
          <t>A17</t>
        </is>
      </c>
      <c r="B34" s="2" t="inlineStr">
        <is>
          <t>UI M03/M07</t>
        </is>
      </c>
      <c r="C34" s="2" t="inlineStr">
        <is>
          <t>FRONTEND_LATER</t>
        </is>
      </c>
      <c r="D34" s="2" t="inlineStr">
        <is>
          <t>Sau API gate: upload ảnh, bộ lọc báo cáo và xuất file</t>
        </is>
      </c>
      <c r="E34" s="2">
        <f>Config!$B$3</f>
        <v/>
      </c>
      <c r="F34" s="2">
        <f>Config!$B$4</f>
        <v/>
      </c>
      <c r="G34" s="2" t="n">
        <v>17</v>
      </c>
      <c r="H34" s="2" t="n">
        <v>17</v>
      </c>
      <c r="I34" s="3">
        <f>WORKDAY(Config!$B$2-1,G34,Config!$D$2:$D$30)</f>
        <v/>
      </c>
      <c r="J34" s="3">
        <f>WORKDAY(Config!$B$2-1,H34,Config!$D$2:$D$30)</f>
        <v/>
      </c>
      <c r="K34" s="2" t="n">
        <v>6</v>
      </c>
      <c r="L34" s="2" t="inlineStr">
        <is>
          <t>A16</t>
        </is>
      </c>
      <c r="M34" s="2" t="inlineStr">
        <is>
          <t>Templates học sinh/báo cáo sau PM duyệt</t>
        </is>
      </c>
      <c r="N34" s="2" t="inlineStr">
        <is>
          <t>Upload lỗi giữ ảnh cũ; đúng quyền lớp; xuất được XLSX/CSV</t>
        </is>
      </c>
      <c r="O34" s="2" t="b">
        <v>0</v>
      </c>
      <c r="P34" s="2">
        <f>IF(OR(O34=TRUE,O34="TRUE"),"finish","unfinish")</f>
        <v/>
      </c>
      <c r="Q34" s="2">
        <f>IF(OR(O34=TRUE,O34="TRUE"),"done",IF(AND(COUNTIFS($A$2:$A$41,"A16",$P$2:$P$41,"finish")=1,Config!$B$6="APPROVED",COUNTIFS($C$2:$C$41,"API",$P$2:$P$41,"unfinish")=0,COUNTIF($C$2:$C$41,"API")&gt;0),"ready","blocked"))</f>
        <v/>
      </c>
      <c r="R34" s="2" t="inlineStr"/>
      <c r="S34" s="2" t="inlineStr"/>
      <c r="T34" s="4" t="inlineStr"/>
      <c r="U34" s="2" t="inlineStr"/>
    </row>
    <row r="35" ht="80" customHeight="1">
      <c r="A35" s="2" t="inlineStr">
        <is>
          <t>B17</t>
        </is>
      </c>
      <c r="B35" s="2" t="inlineStr">
        <is>
          <t>UI Vision</t>
        </is>
      </c>
      <c r="C35" s="2" t="inlineStr">
        <is>
          <t>FRONTEND_LATER</t>
        </is>
      </c>
      <c r="D35" s="2" t="inlineStr">
        <is>
          <t>Sau API gate: camera chụp ảnh, gợi ý và queue vision</t>
        </is>
      </c>
      <c r="E35" s="2">
        <f>Config!$B$4</f>
        <v/>
      </c>
      <c r="F35" s="2">
        <f>Config!$B$3</f>
        <v/>
      </c>
      <c r="G35" s="2" t="n">
        <v>17</v>
      </c>
      <c r="H35" s="2" t="n">
        <v>17</v>
      </c>
      <c r="I35" s="3">
        <f>WORKDAY(Config!$B$2-1,G35,Config!$D$2:$D$30)</f>
        <v/>
      </c>
      <c r="J35" s="3">
        <f>WORKDAY(Config!$B$2-1,H35,Config!$D$2:$D$30)</f>
        <v/>
      </c>
      <c r="K35" s="2" t="n">
        <v>6</v>
      </c>
      <c r="L35" s="2" t="inlineStr">
        <is>
          <t>B16</t>
        </is>
      </c>
      <c r="M35" s="2" t="inlineStr">
        <is>
          <t>Templates/JavaScript vision sau PM duyệt</t>
        </is>
      </c>
      <c r="N35" s="2" t="inlineStr">
        <is>
          <t>Chỉ sau gate; staff xác nhận bắt buộc, lỗi/từ chối camera có manual fallback; không tự PRESENT</t>
        </is>
      </c>
      <c r="O35" s="2" t="b">
        <v>0</v>
      </c>
      <c r="P35" s="2">
        <f>IF(OR(O35=TRUE,O35="TRUE"),"finish","unfinish")</f>
        <v/>
      </c>
      <c r="Q35" s="2">
        <f>IF(OR(O35=TRUE,O35="TRUE"),"done",IF(AND(COUNTIFS($A$2:$A$41,"B16",$P$2:$P$41,"finish")=1,Config!$B$6="APPROVED",COUNTIFS($C$2:$C$41,"API",$P$2:$P$41,"unfinish")=0,COUNTIF($C$2:$C$41,"API")&gt;0),"ready","blocked"))</f>
        <v/>
      </c>
      <c r="R35" s="2" t="inlineStr"/>
      <c r="S35" s="2" t="inlineStr"/>
      <c r="T35" s="4" t="inlineStr"/>
      <c r="U35" s="2" t="inlineStr"/>
    </row>
    <row r="36" ht="80" customHeight="1">
      <c r="A36" s="2" t="inlineStr">
        <is>
          <t>A18</t>
        </is>
      </c>
      <c r="B36" s="2" t="inlineStr">
        <is>
          <t>UI M07 hoàn thiện</t>
        </is>
      </c>
      <c r="C36" s="2" t="inlineStr">
        <is>
          <t>FRONTEND_LATER</t>
        </is>
      </c>
      <c r="D36" s="2" t="inlineStr">
        <is>
          <t>Sau API gate: tổng hợp báo cáo, lỗi và trạng thái đang lưu</t>
        </is>
      </c>
      <c r="E36" s="2">
        <f>Config!$B$3</f>
        <v/>
      </c>
      <c r="F36" s="2">
        <f>Config!$B$4</f>
        <v/>
      </c>
      <c r="G36" s="2" t="n">
        <v>18</v>
      </c>
      <c r="H36" s="2" t="n">
        <v>18</v>
      </c>
      <c r="I36" s="3">
        <f>WORKDAY(Config!$B$2-1,G36,Config!$D$2:$D$30)</f>
        <v/>
      </c>
      <c r="J36" s="3">
        <f>WORKDAY(Config!$B$2-1,H36,Config!$D$2:$D$30)</f>
        <v/>
      </c>
      <c r="K36" s="2" t="n">
        <v>5</v>
      </c>
      <c r="L36" s="2" t="inlineStr">
        <is>
          <t>A17</t>
        </is>
      </c>
      <c r="M36" s="2" t="inlineStr">
        <is>
          <t>Templates báo cáo/học sinh sau PM duyệt</t>
        </is>
      </c>
      <c r="N36" s="2" t="inlineStr">
        <is>
          <t>Tổng khớp API; lỗi không báo thành công; mã/tên/lớp rõ</t>
        </is>
      </c>
      <c r="O36" s="2" t="b">
        <v>0</v>
      </c>
      <c r="P36" s="2">
        <f>IF(OR(O36=TRUE,O36="TRUE"),"finish","unfinish")</f>
        <v/>
      </c>
      <c r="Q36" s="2">
        <f>IF(OR(O36=TRUE,O36="TRUE"),"done",IF(AND(COUNTIFS($A$2:$A$41,"A17",$P$2:$P$41,"finish")=1,Config!$B$6="APPROVED",COUNTIFS($C$2:$C$41,"API",$P$2:$P$41,"unfinish")=0,COUNTIF($C$2:$C$41,"API")&gt;0),"ready","blocked"))</f>
        <v/>
      </c>
      <c r="R36" s="2" t="inlineStr"/>
      <c r="S36" s="2" t="inlineStr"/>
      <c r="T36" s="4" t="inlineStr"/>
      <c r="U36" s="2" t="inlineStr"/>
    </row>
    <row r="37" ht="80" customHeight="1">
      <c r="A37" s="2" t="inlineStr">
        <is>
          <t>B18</t>
        </is>
      </c>
      <c r="B37" s="2" t="inlineStr">
        <is>
          <t>UI M06 hoàn thiện</t>
        </is>
      </c>
      <c r="C37" s="2" t="inlineStr">
        <is>
          <t>FRONTEND_LATER</t>
        </is>
      </c>
      <c r="D37" s="2" t="inlineStr">
        <is>
          <t>Sau API gate: xác minh và đồng phục cùng form, chốt buổi</t>
        </is>
      </c>
      <c r="E37" s="2">
        <f>Config!$B$4</f>
        <v/>
      </c>
      <c r="F37" s="2">
        <f>Config!$B$3</f>
        <v/>
      </c>
      <c r="G37" s="2" t="n">
        <v>18</v>
      </c>
      <c r="H37" s="2" t="n">
        <v>18</v>
      </c>
      <c r="I37" s="3">
        <f>WORKDAY(Config!$B$2-1,G37,Config!$D$2:$D$30)</f>
        <v/>
      </c>
      <c r="J37" s="3">
        <f>WORKDAY(Config!$B$2-1,H37,Config!$D$2:$D$30)</f>
        <v/>
      </c>
      <c r="K37" s="2" t="n">
        <v>5</v>
      </c>
      <c r="L37" s="2" t="inlineStr">
        <is>
          <t>B17</t>
        </is>
      </c>
      <c r="M37" s="2" t="inlineStr">
        <is>
          <t>Templates xác minh/đồng phục sau PM duyệt</t>
        </is>
      </c>
      <c r="N37" s="2" t="inlineStr">
        <is>
          <t>Không mặc định đạt; chốt cảnh báo pending/chưa ghi nhận; giữ NOT_CHECKED</t>
        </is>
      </c>
      <c r="O37" s="2" t="b">
        <v>0</v>
      </c>
      <c r="P37" s="2">
        <f>IF(OR(O37=TRUE,O37="TRUE"),"finish","unfinish")</f>
        <v/>
      </c>
      <c r="Q37" s="2">
        <f>IF(OR(O37=TRUE,O37="TRUE"),"done",IF(AND(COUNTIFS($A$2:$A$41,"B17",$P$2:$P$41,"finish")=1,Config!$B$6="APPROVED",COUNTIFS($C$2:$C$41,"API",$P$2:$P$41,"unfinish")=0,COUNTIF($C$2:$C$41,"API")&gt;0),"ready","blocked"))</f>
        <v/>
      </c>
      <c r="R37" s="2" t="inlineStr"/>
      <c r="S37" s="2" t="inlineStr"/>
      <c r="T37" s="4" t="inlineStr"/>
      <c r="U37" s="2" t="inlineStr"/>
    </row>
    <row r="38" ht="80" customHeight="1">
      <c r="A38" s="2" t="inlineStr">
        <is>
          <t>A19</t>
        </is>
      </c>
      <c r="B38" s="2" t="inlineStr">
        <is>
          <t>Nghiệm thu MVP</t>
        </is>
      </c>
      <c r="C38" s="2" t="inlineStr">
        <is>
          <t>QA</t>
        </is>
      </c>
      <c r="D38" s="2" t="inlineStr">
        <is>
          <t>Kiểm chứng luồng thật và quyền/report trên dữ liệu giả</t>
        </is>
      </c>
      <c r="E38" s="2">
        <f>Config!$B$3</f>
        <v/>
      </c>
      <c r="F38" s="2">
        <f>Config!$B$5</f>
        <v/>
      </c>
      <c r="G38" s="2" t="n">
        <v>19</v>
      </c>
      <c r="H38" s="2" t="n">
        <v>19</v>
      </c>
      <c r="I38" s="3">
        <f>WORKDAY(Config!$B$2-1,G38,Config!$D$2:$D$30)</f>
        <v/>
      </c>
      <c r="J38" s="3">
        <f>WORKDAY(Config!$B$2-1,H38,Config!$D$2:$D$30)</f>
        <v/>
      </c>
      <c r="K38" s="2" t="n">
        <v>6</v>
      </c>
      <c r="L38" s="2" t="inlineStr">
        <is>
          <t>A18, B18</t>
        </is>
      </c>
      <c r="M38" s="2" t="inlineStr">
        <is>
          <t>docs/mvp-acceptance.md; evidence</t>
        </is>
      </c>
      <c r="N38" s="2" t="inlineStr">
        <is>
          <t>Teacher/supervisor/student chạy đúng quyền; số liệu/file khớp; PM ghi comment từng lỗi</t>
        </is>
      </c>
      <c r="O38" s="2" t="b">
        <v>0</v>
      </c>
      <c r="P38" s="2">
        <f>IF(OR(O38=TRUE,O38="TRUE"),"finish","unfinish")</f>
        <v/>
      </c>
      <c r="Q38" s="2">
        <f>IF(OR(O38=TRUE,O38="TRUE"),"done",IF(AND(COUNTIFS($A$2:$A$41,"A18",$P$2:$P$41,"finish")=1,COUNTIFS($A$2:$A$41,"B18",$P$2:$P$41,"finish")=1,Config!$B$6="APPROVED",COUNTIFS($C$2:$C$41,"API",$P$2:$P$41,"unfinish")=0,COUNTIF($C$2:$C$41,"API")&gt;0),"ready","blocked"))</f>
        <v/>
      </c>
      <c r="R38" s="2" t="inlineStr"/>
      <c r="S38" s="2" t="inlineStr"/>
      <c r="T38" s="4" t="inlineStr"/>
      <c r="U38" s="2" t="inlineStr"/>
    </row>
    <row r="39" ht="80" customHeight="1">
      <c r="A39" s="2" t="inlineStr">
        <is>
          <t>B19</t>
        </is>
      </c>
      <c r="B39" s="2" t="inlineStr">
        <is>
          <t>Nghiệm thu MVP</t>
        </is>
      </c>
      <c r="C39" s="2" t="inlineStr">
        <is>
          <t>QA</t>
        </is>
      </c>
      <c r="D39" s="2" t="inlineStr">
        <is>
          <t>Kiểm chứng thiết bị OpenCV, đồng phục và fallback</t>
        </is>
      </c>
      <c r="E39" s="2">
        <f>Config!$B$4</f>
        <v/>
      </c>
      <c r="F39" s="2">
        <f>Config!$B$5</f>
        <v/>
      </c>
      <c r="G39" s="2" t="n">
        <v>19</v>
      </c>
      <c r="H39" s="2" t="n">
        <v>19</v>
      </c>
      <c r="I39" s="3">
        <f>WORKDAY(Config!$B$2-1,G39,Config!$D$2:$D$30)</f>
        <v/>
      </c>
      <c r="J39" s="3">
        <f>WORKDAY(Config!$B$2-1,H39,Config!$D$2:$D$30)</f>
        <v/>
      </c>
      <c r="K39" s="2" t="n">
        <v>6</v>
      </c>
      <c r="L39" s="2" t="inlineStr">
        <is>
          <t>A18, B18</t>
        </is>
      </c>
      <c r="M39" s="2" t="inlineStr">
        <is>
          <t>docs/mvp-acceptance.md; evidence</t>
        </is>
      </c>
      <c r="N39" s="2" t="inlineStr">
        <is>
          <t>Camera thật/quyền/mạng/retry, mặt lạ/mờ/nhiều người, áo bị che; log riêng enrollment/evaluation; không cam kết chống ảnh giả</t>
        </is>
      </c>
      <c r="O39" s="2" t="b">
        <v>0</v>
      </c>
      <c r="P39" s="2">
        <f>IF(OR(O39=TRUE,O39="TRUE"),"finish","unfinish")</f>
        <v/>
      </c>
      <c r="Q39" s="2">
        <f>IF(OR(O39=TRUE,O39="TRUE"),"done",IF(AND(COUNTIFS($A$2:$A$41,"A18",$P$2:$P$41,"finish")=1,COUNTIFS($A$2:$A$41,"B18",$P$2:$P$41,"finish")=1,Config!$B$6="APPROVED",COUNTIFS($C$2:$C$41,"API",$P$2:$P$41,"unfinish")=0,COUNTIF($C$2:$C$41,"API")&gt;0),"ready","blocked"))</f>
        <v/>
      </c>
      <c r="R39" s="2" t="inlineStr"/>
      <c r="S39" s="2" t="inlineStr"/>
      <c r="T39" s="4" t="inlineStr"/>
      <c r="U39" s="2" t="inlineStr"/>
    </row>
    <row r="40" ht="80" customHeight="1">
      <c r="A40" s="2" t="inlineStr">
        <is>
          <t>A20</t>
        </is>
      </c>
      <c r="B40" s="2" t="inlineStr">
        <is>
          <t>Bàn giao</t>
        </is>
      </c>
      <c r="C40" s="2" t="inlineStr">
        <is>
          <t>QA</t>
        </is>
      </c>
      <c r="D40" s="2" t="inlineStr">
        <is>
          <t>Sửa lỗi còn lại, README setup và kịch bản thi</t>
        </is>
      </c>
      <c r="E40" s="2">
        <f>Config!$B$3</f>
        <v/>
      </c>
      <c r="F40" s="2">
        <f>Config!$B$5</f>
        <v/>
      </c>
      <c r="G40" s="2" t="n">
        <v>20</v>
      </c>
      <c r="H40" s="2" t="n">
        <v>20</v>
      </c>
      <c r="I40" s="3">
        <f>WORKDAY(Config!$B$2-1,G40,Config!$D$2:$D$30)</f>
        <v/>
      </c>
      <c r="J40" s="3">
        <f>WORKDAY(Config!$B$2-1,H40,Config!$D$2:$D$30)</f>
        <v/>
      </c>
      <c r="K40" s="2" t="n">
        <v>4</v>
      </c>
      <c r="L40" s="2" t="inlineStr">
        <is>
          <t>A19, B19</t>
        </is>
      </c>
      <c r="M40" s="2" t="inlineStr">
        <is>
          <t>README.md; docs/demo-script.md; evidence</t>
        </is>
      </c>
      <c r="N40" s="2" t="inlineStr">
        <is>
          <t>Setup từ máy sạch theo README; migrations/seed/test có hướng dẫn; PM duyệt bàn giao</t>
        </is>
      </c>
      <c r="O40" s="2" t="b">
        <v>0</v>
      </c>
      <c r="P40" s="2">
        <f>IF(OR(O40=TRUE,O40="TRUE"),"finish","unfinish")</f>
        <v/>
      </c>
      <c r="Q40" s="2">
        <f>IF(OR(O40=TRUE,O40="TRUE"),"done",IF(AND(COUNTIFS($A$2:$A$41,"A19",$P$2:$P$41,"finish")=1,COUNTIFS($A$2:$A$41,"B19",$P$2:$P$41,"finish")=1,Config!$B$6="APPROVED",COUNTIFS($C$2:$C$41,"API",$P$2:$P$41,"unfinish")=0,COUNTIF($C$2:$C$41,"API")&gt;0),"ready","blocked"))</f>
        <v/>
      </c>
      <c r="R40" s="2" t="inlineStr"/>
      <c r="S40" s="2" t="inlineStr"/>
      <c r="T40" s="4" t="inlineStr"/>
      <c r="U40" s="2" t="inlineStr"/>
    </row>
    <row r="41" ht="80" customHeight="1">
      <c r="A41" s="2" t="inlineStr">
        <is>
          <t>B20</t>
        </is>
      </c>
      <c r="B41" s="2" t="inlineStr">
        <is>
          <t>Bàn giao</t>
        </is>
      </c>
      <c r="C41" s="2" t="inlineStr">
        <is>
          <t>QA</t>
        </is>
      </c>
      <c r="D41" s="2" t="inlineStr">
        <is>
          <t>Regression API/vision/uniform và chạy demo cuối</t>
        </is>
      </c>
      <c r="E41" s="2">
        <f>Config!$B$4</f>
        <v/>
      </c>
      <c r="F41" s="2">
        <f>Config!$B$5</f>
        <v/>
      </c>
      <c r="G41" s="2" t="n">
        <v>20</v>
      </c>
      <c r="H41" s="2" t="n">
        <v>20</v>
      </c>
      <c r="I41" s="3">
        <f>WORKDAY(Config!$B$2-1,G41,Config!$D$2:$D$30)</f>
        <v/>
      </c>
      <c r="J41" s="3">
        <f>WORKDAY(Config!$B$2-1,H41,Config!$D$2:$D$30)</f>
        <v/>
      </c>
      <c r="K41" s="2" t="n">
        <v>4</v>
      </c>
      <c r="L41" s="2" t="inlineStr">
        <is>
          <t>A19, B19</t>
        </is>
      </c>
      <c r="M41" s="2" t="inlineStr">
        <is>
          <t>docs/mvp-acceptance.md; evidence</t>
        </is>
      </c>
      <c r="N41" s="2" t="inlineStr">
        <is>
          <t>Full validation và independent review; report/export đối soát; chưa tick finish nếu real-device/PM review còn chờ</t>
        </is>
      </c>
      <c r="O41" s="2" t="b">
        <v>0</v>
      </c>
      <c r="P41" s="2">
        <f>IF(OR(O41=TRUE,O41="TRUE"),"finish","unfinish")</f>
        <v/>
      </c>
      <c r="Q41" s="2">
        <f>IF(OR(O41=TRUE,O41="TRUE"),"done",IF(AND(COUNTIFS($A$2:$A$41,"A19",$P$2:$P$41,"finish")=1,COUNTIFS($A$2:$A$41,"B19",$P$2:$P$41,"finish")=1,Config!$B$6="APPROVED",COUNTIFS($C$2:$C$41,"API",$P$2:$P$41,"unfinish")=0,COUNTIF($C$2:$C$41,"API")&gt;0),"ready","blocked"))</f>
        <v/>
      </c>
      <c r="R41" s="2" t="inlineStr"/>
      <c r="S41" s="2" t="inlineStr"/>
      <c r="T41" s="4" t="inlineStr"/>
      <c r="U41" s="2" t="inlineStr"/>
    </row>
  </sheetData>
  <autoFilter ref="A1:U41"/>
  <conditionalFormatting sqref="A2:U41">
    <cfRule type="expression" priority="1" dxfId="0">
      <formula>$P2="finish"</formula>
    </cfRule>
    <cfRule type="expression" priority="2" dxfId="1">
      <formula>AND($P2="unfinish",$J2&lt;TODAY())</formula>
    </cfRule>
  </conditionalFormatting>
  <conditionalFormatting sqref="Q2:Q41">
    <cfRule type="expression" priority="3" dxfId="2">
      <formula>$Q2="blocked"</formula>
    </cfRule>
  </conditionalFormatting>
  <dataValidations count="1">
    <dataValidation sqref="O2:O41" showDropDown="0" showInputMessage="0" showErrorMessage="1" allowBlank="0" error="Chọn TRUE khi hoàn tất, FALSE khi chưa hoàn tất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5" customWidth="1" min="2" max="2"/>
  </cols>
  <sheetData>
    <row r="1" ht="34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tasks</t>
        </is>
      </c>
      <c r="B2" s="2">
        <f>COUNTA(Tasks!A2:A41)</f>
        <v/>
      </c>
    </row>
    <row r="3">
      <c r="A3" s="2" t="inlineStr">
        <is>
          <t>Finish</t>
        </is>
      </c>
      <c r="B3" s="2">
        <f>COUNTIF(Tasks!P2:P41,"finish")</f>
        <v/>
      </c>
    </row>
    <row r="4">
      <c r="A4" s="2" t="inlineStr">
        <is>
          <t>Unfinish</t>
        </is>
      </c>
      <c r="B4" s="2">
        <f>COUNTIF(Tasks!P2:P41,"unfinish")</f>
        <v/>
      </c>
    </row>
    <row r="5">
      <c r="A5" s="2" t="inlineStr">
        <is>
          <t>Overall progress</t>
        </is>
      </c>
      <c r="B5" s="5">
        <f>IFERROR(B3/B2,0)</f>
        <v/>
      </c>
    </row>
    <row r="6">
      <c r="A6" s="2" t="inlineStr">
        <is>
          <t>API tasks</t>
        </is>
      </c>
      <c r="B6" s="2">
        <f>COUNTIF(Tasks!C2:C41,"API")</f>
        <v/>
      </c>
    </row>
    <row r="7">
      <c r="A7" s="2" t="inlineStr">
        <is>
          <t>API finish</t>
        </is>
      </c>
      <c r="B7" s="2">
        <f>COUNTIFS(Tasks!C2:C41,"API",Tasks!P2:P41,"finish")</f>
        <v/>
      </c>
    </row>
    <row r="8">
      <c r="A8" s="2" t="inlineStr">
        <is>
          <t>API progress</t>
        </is>
      </c>
      <c r="B8" s="5">
        <f>IFERROR(B7/B6,0)</f>
        <v/>
      </c>
    </row>
    <row r="9">
      <c r="A9" s="2" t="inlineStr">
        <is>
          <t>Frontend planned</t>
        </is>
      </c>
      <c r="B9" s="2">
        <f>COUNTIF(Tasks!C2:C41,"FRONTEND_LATER")</f>
        <v/>
      </c>
    </row>
    <row r="10">
      <c r="A10" s="2" t="inlineStr">
        <is>
          <t>API_Gate</t>
        </is>
      </c>
      <c r="B10" s="2">
        <f>Config!B6</f>
        <v/>
      </c>
    </row>
    <row r="11">
      <c r="A11" s="2" t="inlineStr">
        <is>
          <t>Frontend unlocked</t>
        </is>
      </c>
      <c r="B11" s="2">
        <f>IF(AND(B7=B6,B6&gt;0,Config!B6="APPROVED"),"YES","NO")</f>
        <v/>
      </c>
    </row>
    <row r="12">
      <c r="A12" s="2" t="inlineStr">
        <is>
          <t>Owner</t>
        </is>
      </c>
      <c r="B12" s="2" t="inlineStr">
        <is>
          <t>Progress</t>
        </is>
      </c>
    </row>
    <row r="13">
      <c r="A13" s="2">
        <f>Config!B3</f>
        <v/>
      </c>
      <c r="B13" s="5">
        <f>IFERROR(COUNTIFS(Tasks!E2:E41,A13,Tasks!P2:P41,"finish")/COUNTIF(Tasks!E2:E41,A13),0)</f>
        <v/>
      </c>
    </row>
    <row r="14">
      <c r="A14" s="2">
        <f>Config!B4</f>
        <v/>
      </c>
      <c r="B14" s="5">
        <f>IFERROR(COUNTIFS(Tasks!E2:E41,A14,Tasks!P2:P41,"finish")/COUNTIF(Tasks!E2:E41,A14),0)</f>
        <v/>
      </c>
    </row>
    <row r="15">
      <c r="A15" s="2" t="inlineStr">
        <is>
          <t>mem1 planned hours</t>
        </is>
      </c>
      <c r="B15" s="2">
        <f>SUMIF(Tasks!E2:E41,Config!B3,Tasks!K2:K41)</f>
        <v/>
      </c>
    </row>
    <row r="16">
      <c r="A16" s="2" t="inlineStr">
        <is>
          <t>mem2 planned hours</t>
        </is>
      </c>
      <c r="B16" s="2">
        <f>SUMIF(Tasks!E2:E41,Config!B4,Tasks!K2:K41)</f>
        <v/>
      </c>
    </row>
    <row r="17">
      <c r="A17" s="2" t="inlineStr">
        <is>
          <t>Note</t>
        </is>
      </c>
      <c r="B17" s="2" t="inlineStr">
        <is>
          <t>Tick finish after tests/review/evidence; PM decides API gate.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34" customHeight="1">
      <c r="A1" s="1" t="inlineStr">
        <is>
          <t>Module</t>
        </is>
      </c>
      <c r="B1" s="1" t="inlineStr">
        <is>
          <t>Owner</t>
        </is>
      </c>
      <c r="C1" s="1" t="inlineStr">
        <is>
          <t>Scope</t>
        </is>
      </c>
    </row>
    <row r="2">
      <c r="A2" s="2" t="inlineStr">
        <is>
          <t>Accounts</t>
        </is>
      </c>
      <c r="B2" s="2">
        <f>Config!B3</f>
        <v/>
      </c>
      <c r="C2" s="2" t="inlineStr">
        <is>
          <t>Auth/session/role/scope</t>
        </is>
      </c>
    </row>
    <row r="3">
      <c r="A3" s="2" t="inlineStr">
        <is>
          <t>Academics</t>
        </is>
      </c>
      <c r="B3" s="2">
        <f>Config!B3</f>
        <v/>
      </c>
      <c r="C3" s="2" t="inlineStr">
        <is>
          <t>Grade/class/one homeroom teacher</t>
        </is>
      </c>
    </row>
    <row r="4">
      <c r="A4" s="2" t="inlineStr">
        <is>
          <t>Students</t>
        </is>
      </c>
      <c r="B4" s="2">
        <f>Config!B3</f>
        <v/>
      </c>
      <c r="C4" s="2" t="inlineStr">
        <is>
          <t>Profile/class/private photo</t>
        </is>
      </c>
    </row>
    <row r="5">
      <c r="A5" s="2" t="inlineStr">
        <is>
          <t>Reports</t>
        </is>
      </c>
      <c r="B5" s="2">
        <f>Config!B3</f>
        <v/>
      </c>
      <c r="C5" s="2" t="inlineStr">
        <is>
          <t>Scoped summaries/XLSX/CSV</t>
        </is>
      </c>
    </row>
    <row r="6">
      <c r="A6" s="2" t="inlineStr">
        <is>
          <t>Schedules</t>
        </is>
      </c>
      <c r="B6" s="2">
        <f>Config!B4</f>
        <v/>
      </c>
      <c r="C6" s="2" t="inlineStr">
        <is>
          <t>Weekly rules/session/roster snapshot</t>
        </is>
      </c>
    </row>
    <row r="7">
      <c r="A7" s="2" t="inlineStr">
        <is>
          <t>Attendance / Uniform</t>
        </is>
      </c>
      <c r="B7" s="2">
        <f>Config!B4</f>
        <v/>
      </c>
      <c r="C7" s="2" t="inlineStr">
        <is>
          <t>Arrival/manual/verification/uniform/close</t>
        </is>
      </c>
    </row>
    <row r="8">
      <c r="A8" s="2" t="inlineStr">
        <is>
          <t>Vision / QR legacy</t>
        </is>
      </c>
      <c r="B8" s="2">
        <f>Config!B4</f>
        <v/>
      </c>
      <c r="C8" s="2" t="inlineStr">
        <is>
          <t>OpenCV staff confirm; QR disabled by 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2026-10-18T11:50:33Z</dcterms:created>
  <dcterms:modified xsi:type="dcterms:W3CDTF">2026-10-18T11:50:33Z</dcterms:modified>
</cp:coreProperties>
</file>